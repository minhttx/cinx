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4.xml" ContentType="application/vnd.openxmlformats-officedocument.drawingml.char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worksheets/sheet12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0" showHorizontalScroll="1" showVerticalScroll="1"/>
  </bookViews>
  <sheets>
    <sheet name="Burndown Dashboard" sheetId="1" state="visible" r:id="rId1"/>
    <sheet name="Product Backlog" sheetId="2" state="visible" r:id="rId2"/>
    <sheet name="Sprint 1 Tasks" sheetId="3" state="visible" r:id="rId3"/>
    <sheet name="Sprint 2 Tasks" sheetId="4" state="visible" r:id="rId4"/>
    <sheet name="Sprint 3 Tasks" sheetId="5" state="visible" r:id="rId5"/>
    <sheet name="Sprint 4 Tasks" sheetId="6" state="visible" r:id="rId6"/>
    <sheet name="Daily Standup" sheetId="7" state="visible" r:id="rId7"/>
    <sheet name="Risk Register" sheetId="8" state="visible" r:id="rId8"/>
    <sheet name="Velocity Tracking" sheetId="9" state="visible" r:id="rId9"/>
    <sheet name="Team &amp; Info" sheetId="10" state="visible" r:id="rId10"/>
    <sheet name="Burndown S1" sheetId="11" state="visible" r:id="rId11"/>
    <sheet name="Burndown S2" sheetId="12" state="visible" r:id="rId12"/>
    <sheet name="Burndown S3" sheetId="13" state="visible" r:id="rId13"/>
    <sheet name="Burndown S4" sheetId="14" state="visible" r:id="rId1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<sst xmlns="http://schemas.openxmlformats.org/spreadsheetml/2006/main" count="296" uniqueCount="296">
  <si>
    <t xml:space="preserve">CINEMA BOOKING SYSTEM - BURNDOWN DASHBOARD</t>
  </si>
  <si>
    <t xml:space="preserve">COMBINED BURNDOWN - ALL SPRINTS</t>
  </si>
  <si>
    <t>Sprint</t>
  </si>
  <si>
    <t xml:space="preserve">Start Day</t>
  </si>
  <si>
    <t xml:space="preserve">Total Points</t>
  </si>
  <si>
    <t xml:space="preserve">Ideal Burn/day</t>
  </si>
  <si>
    <t xml:space="preserve">Sprint 1</t>
  </si>
  <si>
    <t xml:space="preserve">Sprint 2</t>
  </si>
  <si>
    <t xml:space="preserve">Sprint 3</t>
  </si>
  <si>
    <t xml:space="preserve">Sprint 4</t>
  </si>
  <si>
    <t xml:space="preserve">DAILY BURNDOWN (40 DAYS)</t>
  </si>
  <si>
    <t>Day</t>
  </si>
  <si>
    <t xml:space="preserve">Cumulative Ideal</t>
  </si>
  <si>
    <t xml:space="preserve">Cumulative Actual</t>
  </si>
  <si>
    <t>Status</t>
  </si>
  <si>
    <t xml:space="preserve">Sprint Start</t>
  </si>
  <si>
    <t xml:space="preserve">Sprint End</t>
  </si>
  <si>
    <t>LEGEND:</t>
  </si>
  <si>
    <t xml:space="preserve">• Blue Line</t>
  </si>
  <si>
    <t xml:space="preserve">• Red Line</t>
  </si>
  <si>
    <t xml:space="preserve">HOW TO USE:</t>
  </si>
  <si>
    <t xml:space="preserve">1. Update 'Actual Remaining' column daily</t>
  </si>
  <si>
    <t xml:space="preserve">2. Chart auto-updates based on your input</t>
  </si>
  <si>
    <t xml:space="preserve">3. If Actual &gt; Ideal → Risk of not completing</t>
  </si>
  <si>
    <t xml:space="preserve">4. If Actual &lt; Ideal → Ahead of schedule</t>
  </si>
  <si>
    <t>ID</t>
  </si>
  <si>
    <t xml:space="preserve">User Story</t>
  </si>
  <si>
    <t>Priority</t>
  </si>
  <si>
    <t xml:space="preserve">Story Points</t>
  </si>
  <si>
    <t>Assignee</t>
  </si>
  <si>
    <t>Support</t>
  </si>
  <si>
    <t>Notes</t>
  </si>
  <si>
    <t>US-001</t>
  </si>
  <si>
    <t xml:space="preserve">Là khách hàng, tôi muốn xem danh sách phim đang chiếu</t>
  </si>
  <si>
    <t>High</t>
  </si>
  <si>
    <t>Minh</t>
  </si>
  <si>
    <t>Quang</t>
  </si>
  <si>
    <t>US-002</t>
  </si>
  <si>
    <t xml:space="preserve">Là khách hàng, tôi muốn xem chi tiết phim (mô tả, trailer, rating)</t>
  </si>
  <si>
    <t>TS-001</t>
  </si>
  <si>
    <t xml:space="preserve">Setup CI/CD pipeline với Podman/Docker</t>
  </si>
  <si>
    <t>Tính</t>
  </si>
  <si>
    <t>TS-003</t>
  </si>
  <si>
    <t xml:space="preserve">Tích hợp Supabase Auth + RLS policies</t>
  </si>
  <si>
    <t xml:space="preserve">Sprint 1 Total</t>
  </si>
  <si>
    <t>US-003</t>
  </si>
  <si>
    <t xml:space="preserve">Là khách hàng, tôi muốn chọn suất chiếu theo ngày/phòng</t>
  </si>
  <si>
    <t>US-004</t>
  </si>
  <si>
    <t xml:space="preserve">Là khách hàng, tôi muốn xem sơ đồ ghế thời gian thực</t>
  </si>
  <si>
    <t>Minh+Quang</t>
  </si>
  <si>
    <t>TS-004</t>
  </si>
  <si>
    <t xml:space="preserve">Xây dựng PostgreSQL RPC cho Seat Stats</t>
  </si>
  <si>
    <t>US-008</t>
  </si>
  <si>
    <t xml:space="preserve">Là admin, tôi muốn dashboard thống kê doanh thu</t>
  </si>
  <si>
    <t>Medium</t>
  </si>
  <si>
    <t>Quang+Minh</t>
  </si>
  <si>
    <t xml:space="preserve">Sprint 2 Total</t>
  </si>
  <si>
    <t>US-005</t>
  </si>
  <si>
    <t xml:space="preserve">Là khách hàng, tôi muốn thanh toán qua VNPAY</t>
  </si>
  <si>
    <t>Ái</t>
  </si>
  <si>
    <t>US-010</t>
  </si>
  <si>
    <t xml:space="preserve">Là nhân viên rạp, tôi muốn quét QR check-in vé</t>
  </si>
  <si>
    <t>TS-002</t>
  </si>
  <si>
    <t xml:space="preserve">Triển khai Ollama Local LLM + Nginx Proxy</t>
  </si>
  <si>
    <t>Tính+Minh</t>
  </si>
  <si>
    <t xml:space="preserve">Sprint 3 Total</t>
  </si>
  <si>
    <t>US-006</t>
  </si>
  <si>
    <t xml:space="preserve">Là khách hàng, tôi muốn chat với AI để được tư vấn và đặt vé</t>
  </si>
  <si>
    <t>Critical</t>
  </si>
  <si>
    <t>Tính,Quang</t>
  </si>
  <si>
    <t>US-007</t>
  </si>
  <si>
    <t xml:space="preserve">Là khách hàng, tôi muốn nhận gợi ý phim từ AI</t>
  </si>
  <si>
    <t>US-009</t>
  </si>
  <si>
    <t xml:space="preserve">Là admin, tôi muốn AI tự động viết tin tức</t>
  </si>
  <si>
    <t>US-011</t>
  </si>
  <si>
    <t xml:space="preserve">Là người dùng, tôi muốn chatbot luôn hiển thị trên cùng</t>
  </si>
  <si>
    <t>Low</t>
  </si>
  <si>
    <t>TS-005</t>
  </si>
  <si>
    <t xml:space="preserve">Tích hợp Jina AI Reader cho Admin Tools</t>
  </si>
  <si>
    <t xml:space="preserve">Sprint 4 Total</t>
  </si>
  <si>
    <t xml:space="preserve">PROJECT TOTAL</t>
  </si>
  <si>
    <t>Task</t>
  </si>
  <si>
    <t xml:space="preserve">Estimated (h)</t>
  </si>
  <si>
    <t xml:space="preserve">Actual (h)</t>
  </si>
  <si>
    <t>Dependencies</t>
  </si>
  <si>
    <t xml:space="preserve">Day 1-2</t>
  </si>
  <si>
    <t xml:space="preserve">Day 3-4</t>
  </si>
  <si>
    <t xml:space="preserve">Day 5-6</t>
  </si>
  <si>
    <t xml:space="preserve">Day 7-8</t>
  </si>
  <si>
    <t xml:space="preserve">Day 9-10</t>
  </si>
  <si>
    <t xml:space="preserve">Figma design - Movie pages</t>
  </si>
  <si>
    <t>X</t>
  </si>
  <si>
    <t xml:space="preserve">Setup React + Vite + MD3</t>
  </si>
  <si>
    <t xml:space="preserve">Quang design</t>
  </si>
  <si>
    <t xml:space="preserve">Supabase Auth + RLS</t>
  </si>
  <si>
    <t xml:space="preserve">DB Schema (movies, showtimes)</t>
  </si>
  <si>
    <t xml:space="preserve">Movie List page</t>
  </si>
  <si>
    <t xml:space="preserve">Tính schema</t>
  </si>
  <si>
    <t xml:space="preserve">Movie Detail page</t>
  </si>
  <si>
    <t xml:space="preserve">CI/CD Pipeline</t>
  </si>
  <si>
    <t xml:space="preserve">Test cases Sprint 1</t>
  </si>
  <si>
    <t xml:space="preserve">Manual testing</t>
  </si>
  <si>
    <t xml:space="preserve">Minh impl</t>
  </si>
  <si>
    <t xml:space="preserve">Sprint Review prep</t>
  </si>
  <si>
    <t>All</t>
  </si>
  <si>
    <t>Retrospective</t>
  </si>
  <si>
    <t>TOTAL</t>
  </si>
  <si>
    <t>W3</t>
  </si>
  <si>
    <t>W4</t>
  </si>
  <si>
    <t xml:space="preserve">Figma - Seat Map &amp; Booking</t>
  </si>
  <si>
    <t xml:space="preserve">Complex interactive</t>
  </si>
  <si>
    <t xml:space="preserve">PostgreSQL RPC seat_stats</t>
  </si>
  <si>
    <t>PL/pgSQL</t>
  </si>
  <si>
    <t xml:space="preserve">WebSocket/Polling seats</t>
  </si>
  <si>
    <t xml:space="preserve">Fallback strategy</t>
  </si>
  <si>
    <t xml:space="preserve">Seat map component</t>
  </si>
  <si>
    <t xml:space="preserve">Pair programming</t>
  </si>
  <si>
    <t xml:space="preserve">Scheduler algorithm</t>
  </si>
  <si>
    <t xml:space="preserve">Hot movie hijack</t>
  </si>
  <si>
    <t xml:space="preserve">Admin dashboard UI</t>
  </si>
  <si>
    <t>Chart.js</t>
  </si>
  <si>
    <t xml:space="preserve">Admin dashboard API</t>
  </si>
  <si>
    <t xml:space="preserve">Test cases booking</t>
  </si>
  <si>
    <t xml:space="preserve">Edge cases</t>
  </si>
  <si>
    <t xml:space="preserve">UAT testing</t>
  </si>
  <si>
    <t xml:space="preserve">Sprint Review</t>
  </si>
  <si>
    <t xml:space="preserve">Video demo</t>
  </si>
  <si>
    <t>W5</t>
  </si>
  <si>
    <t>W6</t>
  </si>
  <si>
    <t xml:space="preserve">VNPAY Sandbox integration</t>
  </si>
  <si>
    <t xml:space="preserve">Test credentials</t>
  </si>
  <si>
    <t xml:space="preserve">Booking state machine</t>
  </si>
  <si>
    <t>pending→confirmed</t>
  </si>
  <si>
    <t xml:space="preserve">PWA QR Scanner UI</t>
  </si>
  <si>
    <t xml:space="preserve">Camera permission</t>
  </si>
  <si>
    <t xml:space="preserve">QR Scanner logic + API</t>
  </si>
  <si>
    <t xml:space="preserve">Auto-release seat (cron)</t>
  </si>
  <si>
    <t xml:space="preserve">PG job</t>
  </si>
  <si>
    <t xml:space="preserve">Setup Ollama container</t>
  </si>
  <si>
    <t xml:space="preserve">Llama 3.2</t>
  </si>
  <si>
    <t xml:space="preserve">Nginx proxy config</t>
  </si>
  <si>
    <t xml:space="preserve">SSE buffering</t>
  </si>
  <si>
    <t xml:space="preserve">Payment test cases</t>
  </si>
  <si>
    <t>Success/fail/cancel</t>
  </si>
  <si>
    <t xml:space="preserve">QR scanner test</t>
  </si>
  <si>
    <t xml:space="preserve">Device compat</t>
  </si>
  <si>
    <t xml:space="preserve">Security testing</t>
  </si>
  <si>
    <t xml:space="preserve">Payment security</t>
  </si>
  <si>
    <t xml:space="preserve">End-to-end demo</t>
  </si>
  <si>
    <t>W7</t>
  </si>
  <si>
    <t>W8</t>
  </si>
  <si>
    <t xml:space="preserve">Chatbot UI (floating)</t>
  </si>
  <si>
    <t>Responsive</t>
  </si>
  <si>
    <t xml:space="preserve">JIT RAG context gathering</t>
  </si>
  <si>
    <t>Minh+Tính</t>
  </si>
  <si>
    <t xml:space="preserve">PAIR PROGRAMMING</t>
  </si>
  <si>
    <t xml:space="preserve">NLU Pipeline</t>
  </si>
  <si>
    <t>Regex+LLM</t>
  </si>
  <si>
    <t xml:space="preserve">Interactive hyperlinks</t>
  </si>
  <si>
    <t xml:space="preserve">Actionable links</t>
  </si>
  <si>
    <t xml:space="preserve">AI recommendation engine</t>
  </si>
  <si>
    <t xml:space="preserve">Context aware</t>
  </si>
  <si>
    <t xml:space="preserve">Jina AI integration</t>
  </si>
  <si>
    <t xml:space="preserve">URL scraping</t>
  </si>
  <si>
    <t xml:space="preserve">Admin AI news UI</t>
  </si>
  <si>
    <t xml:space="preserve">Fix 1000 rows limit</t>
  </si>
  <si>
    <t>CRITICAL</t>
  </si>
  <si>
    <t xml:space="preserve">UI refinement</t>
  </si>
  <si>
    <t xml:space="preserve">Z-index, modals</t>
  </si>
  <si>
    <t xml:space="preserve">End-to-end AI tests</t>
  </si>
  <si>
    <t>Hallucination</t>
  </si>
  <si>
    <t xml:space="preserve">Performance testing</t>
  </si>
  <si>
    <t xml:space="preserve">Load test</t>
  </si>
  <si>
    <t xml:space="preserve">Bug fixing &amp; regression</t>
  </si>
  <si>
    <t>Buffer</t>
  </si>
  <si>
    <t xml:space="preserve">Final documentation</t>
  </si>
  <si>
    <t xml:space="preserve">API docs</t>
  </si>
  <si>
    <t xml:space="preserve">Final Demo Prep</t>
  </si>
  <si>
    <t>Rehearsal</t>
  </si>
  <si>
    <t xml:space="preserve">Sprint Review + Retro</t>
  </si>
  <si>
    <t>Date</t>
  </si>
  <si>
    <t>Minh-Yesterday</t>
  </si>
  <si>
    <t>Minh-Today</t>
  </si>
  <si>
    <t>Minh-Blockers</t>
  </si>
  <si>
    <t>Quang-Yesterday</t>
  </si>
  <si>
    <t>Quang-Today</t>
  </si>
  <si>
    <t>Quang-Blockers</t>
  </si>
  <si>
    <t>Tính-Yesterday</t>
  </si>
  <si>
    <t>Tính-Today</t>
  </si>
  <si>
    <t>Tính-Blockers</t>
  </si>
  <si>
    <t>Ái-Yesterday</t>
  </si>
  <si>
    <t>Ái-Today</t>
  </si>
  <si>
    <t>Ái-Blockers</t>
  </si>
  <si>
    <t>Note-taker</t>
  </si>
  <si>
    <t>Risk</t>
  </si>
  <si>
    <t>Probability</t>
  </si>
  <si>
    <t>Impact</t>
  </si>
  <si>
    <t>Owner</t>
  </si>
  <si>
    <t>Mitigation</t>
  </si>
  <si>
    <t>Contingency</t>
  </si>
  <si>
    <t xml:space="preserve">Quang sick/design delay</t>
  </si>
  <si>
    <t xml:space="preserve">Figma version sớm</t>
  </si>
  <si>
    <t xml:space="preserve">Minh tự làm UI</t>
  </si>
  <si>
    <t>Open</t>
  </si>
  <si>
    <t xml:space="preserve">Tính DB optimization chậm</t>
  </si>
  <si>
    <t xml:space="preserve">Sprint 2 buffer</t>
  </si>
  <si>
    <t xml:space="preserve">Chuyển polling đơn giản</t>
  </si>
  <si>
    <t xml:space="preserve">Minh AI integration phức tạp</t>
  </si>
  <si>
    <t xml:space="preserve">Sprint 4 pair prog</t>
  </si>
  <si>
    <t xml:space="preserve">Dùng Gemini API</t>
  </si>
  <si>
    <t xml:space="preserve">Ái phát hiện bug payment late</t>
  </si>
  <si>
    <t xml:space="preserve">Test sớm Sprint 3</t>
  </si>
  <si>
    <t>Overtime/disable</t>
  </si>
  <si>
    <t xml:space="preserve">Team conflict/communication</t>
  </si>
  <si>
    <t xml:space="preserve">Daily standup</t>
  </si>
  <si>
    <t xml:space="preserve">Retro khẩn</t>
  </si>
  <si>
    <t xml:space="preserve">Ollama local LLM chậm</t>
  </si>
  <si>
    <t xml:space="preserve">Fallback Gemini</t>
  </si>
  <si>
    <t xml:space="preserve">Cloud deploy</t>
  </si>
  <si>
    <t xml:space="preserve">Data limit 1000 rows</t>
  </si>
  <si>
    <t xml:space="preserve">Database RPC</t>
  </si>
  <si>
    <t>Pre-calculate</t>
  </si>
  <si>
    <t xml:space="preserve">Browser QR compatibility</t>
  </si>
  <si>
    <t>html5-qrcode</t>
  </si>
  <si>
    <t xml:space="preserve">Manual input</t>
  </si>
  <si>
    <t xml:space="preserve">Planned Points</t>
  </si>
  <si>
    <t xml:space="preserve">Actual Points</t>
  </si>
  <si>
    <t xml:space="preserve">Capacity (hours)</t>
  </si>
  <si>
    <t xml:space="preserve">Velocity Ratio</t>
  </si>
  <si>
    <t xml:space="preserve">Ramp up</t>
  </si>
  <si>
    <t xml:space="preserve">Team quen workflow</t>
  </si>
  <si>
    <t xml:space="preserve">Ổn định</t>
  </si>
  <si>
    <t xml:space="preserve">Push final</t>
  </si>
  <si>
    <t xml:space="preserve">Average Velocity</t>
  </si>
  <si>
    <t xml:space="preserve">CINX SCRUM PLAN - TEAM 4 NGƯỜI</t>
  </si>
  <si>
    <t xml:space="preserve">Thời gian dự án</t>
  </si>
  <si>
    <t xml:space="preserve">2 tháng (8 tuần)</t>
  </si>
  <si>
    <t xml:space="preserve">Sprint duration</t>
  </si>
  <si>
    <t xml:space="preserve">2 tuần</t>
  </si>
  <si>
    <t xml:space="preserve">Tổng Sprint</t>
  </si>
  <si>
    <t xml:space="preserve">4 Sprint</t>
  </si>
  <si>
    <t xml:space="preserve">Tổng Story Points</t>
  </si>
  <si>
    <t xml:space="preserve">134 points</t>
  </si>
  <si>
    <t xml:space="preserve">TEAM MEMBERS</t>
  </si>
  <si>
    <t>Tên</t>
  </si>
  <si>
    <t xml:space="preserve">Vai trò chính</t>
  </si>
  <si>
    <t xml:space="preserve">Vai trò Scrum</t>
  </si>
  <si>
    <t xml:space="preserve">Chuyên môn</t>
  </si>
  <si>
    <t xml:space="preserve">Full-stack Dev</t>
  </si>
  <si>
    <t xml:space="preserve">Scrum Master</t>
  </si>
  <si>
    <t xml:space="preserve">React, Node.js, AI</t>
  </si>
  <si>
    <t xml:space="preserve">UI/UX Designer</t>
  </si>
  <si>
    <t xml:space="preserve">PO Proxy</t>
  </si>
  <si>
    <t xml:space="preserve">Figma, Material Design 3</t>
  </si>
  <si>
    <t xml:space="preserve">Database Engineer</t>
  </si>
  <si>
    <t>DevOps</t>
  </si>
  <si>
    <t xml:space="preserve">PostgreSQL, Supabase</t>
  </si>
  <si>
    <t>QA/Tester</t>
  </si>
  <si>
    <t xml:space="preserve">Product Owner</t>
  </si>
  <si>
    <t xml:space="preserve">Test automation, UAT</t>
  </si>
  <si>
    <t>CEREMONIES</t>
  </si>
  <si>
    <t>Ceremony</t>
  </si>
  <si>
    <t xml:space="preserve">Thời lượng</t>
  </si>
  <si>
    <t xml:space="preserve">Tần suất</t>
  </si>
  <si>
    <t xml:space="preserve">Daily Standup</t>
  </si>
  <si>
    <t xml:space="preserve">15 phút</t>
  </si>
  <si>
    <t xml:space="preserve">Hàng ngày 9:00 AM</t>
  </si>
  <si>
    <t xml:space="preserve">Sprint Planning</t>
  </si>
  <si>
    <t xml:space="preserve">2-3 giờ</t>
  </si>
  <si>
    <t xml:space="preserve">Thứ 2 đầu Sprint</t>
  </si>
  <si>
    <t xml:space="preserve">Backlog Refinement</t>
  </si>
  <si>
    <t xml:space="preserve">1 giờ</t>
  </si>
  <si>
    <t xml:space="preserve">Giữa Sprint (Thứ 5)</t>
  </si>
  <si>
    <t xml:space="preserve">Thứ 6 cuối Sprint</t>
  </si>
  <si>
    <t xml:space="preserve">45 phút</t>
  </si>
  <si>
    <t xml:space="preserve">Sau Review</t>
  </si>
  <si>
    <t xml:space="preserve">DEFINITION OF DONE</t>
  </si>
  <si>
    <t xml:space="preserve">☐ Code reviewed by peer</t>
  </si>
  <si>
    <t xml:space="preserve">☐ Unit test pass (&gt;70% coverage)</t>
  </si>
  <si>
    <t xml:space="preserve">☐ Integration test pass</t>
  </si>
  <si>
    <t xml:space="preserve">☐ UI responsive (mobile+desktop)</t>
  </si>
  <si>
    <t xml:space="preserve">☐ Performance: API &lt;500ms, AI &lt;3s</t>
  </si>
  <si>
    <t xml:space="preserve">☐ QA sign-off</t>
  </si>
  <si>
    <t xml:space="preserve">☐ Documentation updated</t>
  </si>
  <si>
    <t xml:space="preserve">☐ Demo ready</t>
  </si>
  <si>
    <t xml:space="preserve">☐ No critical bugs</t>
  </si>
  <si>
    <t xml:space="preserve">Burndown Chart - Sprint 1 (Foundation)</t>
  </si>
  <si>
    <t xml:space="preserve">Ideal Remaining</t>
  </si>
  <si>
    <t xml:space="preserve">Actual Remaining</t>
  </si>
  <si>
    <t>Start</t>
  </si>
  <si>
    <t>Mid-sprint</t>
  </si>
  <si>
    <t>End</t>
  </si>
  <si>
    <t xml:space="preserve">Burndown Chart - Sprint 2 (Core Booking)</t>
  </si>
  <si>
    <t xml:space="preserve">Burndown Chart - Sprint 3 (Payment &amp; QR)</t>
  </si>
  <si>
    <t xml:space="preserve">Burndown Chart - Sprint 4 (AI Integration)</t>
  </si>
  <si>
    <t xml:space="preserve">Final Demo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</si>
</sst>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6.000000"/>
      <color indexed="65"/>
    </font>
    <font>
      <b/>
      <sz val="12.000000"/>
    </font>
    <font>
      <b/>
    </font>
    <font>
      <b/>
      <color indexed="65"/>
    </font>
    <font>
      <b/>
      <sz val="14.000000"/>
      <color indexed="65"/>
    </font>
  </fonts>
  <fills count="12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D9E1F2"/>
        <bgColor rgb="FFD9E1F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2" fillId="0" borderId="0" numFmtId="0" xfId="0" applyFont="1" applyAlignment="1" quotePrefix="0" pivotButton="0">
      <alignment horizontal="center"/>
    </xf>
    <xf fontId="3" fillId="3" borderId="0" numFmtId="0" xfId="0" applyFont="1" applyFill="1" quotePrefix="0" pivotButton="0"/>
    <xf fontId="4" fillId="4" borderId="0" numFmtId="0" xfId="0" applyFont="1" applyFill="1" applyAlignment="1" quotePrefix="0" pivotButton="0">
      <alignment horizontal="center" vertical="center" wrapText="1"/>
    </xf>
    <xf fontId="3" fillId="5" borderId="0" numFmtId="0" xfId="0" applyFont="1" applyFill="1" quotePrefix="0" pivotButton="0"/>
    <xf fontId="4" fillId="6" borderId="0" numFmtId="0" xfId="0" applyFont="1" applyFill="1" quotePrefix="0" pivotButton="0"/>
    <xf fontId="4" fillId="4" borderId="0" numFmtId="0" xfId="0" applyFont="1" applyFill="1" quotePrefix="0" pivotButton="0"/>
    <xf fontId="4" fillId="7" borderId="0" numFmtId="0" xfId="0" applyFont="1" applyFill="1" quotePrefix="0" pivotButton="0"/>
    <xf fontId="4" fillId="8" borderId="0" numFmtId="0" xfId="0" applyFont="1" applyFill="1" quotePrefix="0" pivotButton="0"/>
    <xf fontId="4" fillId="9" borderId="0" numFmtId="0" xfId="0" applyFont="1" applyFill="1" applyAlignment="1" quotePrefix="0" pivotButton="0">
      <alignment horizontal="center" wrapText="1"/>
    </xf>
    <xf fontId="4" fillId="10" borderId="0" numFmtId="0" xfId="0" applyFont="1" applyFill="1" quotePrefix="0" pivotButton="0"/>
    <xf fontId="5" fillId="6" borderId="0" numFmtId="0" xfId="0" applyFont="1" applyFill="1" applyAlignment="1" quotePrefix="0" pivotButton="0">
      <alignment horizontal="center"/>
    </xf>
    <xf fontId="3" fillId="11" borderId="0" numFmtId="0" xfId="0" applyFont="1" applyFill="1" quotePrefix="0" pivotButton="0"/>
    <xf fontId="0" fillId="0" borderId="0" numFmtId="16" xfId="0" applyNumberFormat="1" quotePrefix="0" pivotButton="0"/>
    <xf fontId="5" fillId="4" borderId="0" numFmtId="0" xfId="0" applyFont="1" applyFill="1" applyAlignment="1" quotePrefix="0" pivotButton="0">
      <alignment horizontal="center"/>
    </xf>
    <xf fontId="5" fillId="7" borderId="0" numFmtId="0" xfId="0" applyFont="1" applyFill="1" applyAlignment="1" quotePrefix="0" pivotButton="0">
      <alignment horizontal="center"/>
    </xf>
    <xf fontId="5" fillId="8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Project Burndown - All Sprints (40 Days)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'Burndown Dashboard'!C12</c:f>
            </c:strRef>
          </c:tx>
          <c:spPr bwMode="auto">
            <a:prstGeom prst="rect">
              <a:avLst/>
            </a:prstGeom>
            <a:ln w="25000">
              <a:solidFill>
                <a:srgbClr val="4472C4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Dashboard'!$A$13:$A$53</c:f>
            </c:numRef>
          </c:cat>
          <c:val>
            <c:numRef>
              <c:f>'Burndown Dashboard'!$C$13:$C$53</c:f>
            </c:numRef>
          </c:val>
          <c:smooth val="0"/>
        </c:ser>
        <c:ser>
          <c:idx val="1"/>
          <c:order val="1"/>
          <c:tx>
            <c:strRef>
              <c:f>'Burndown Dashboard'!D12</c:f>
            </c:strRef>
          </c:tx>
          <c:spPr bwMode="auto">
            <a:prstGeom prst="rect">
              <a:avLst/>
            </a:prstGeom>
            <a:ln w="35000">
              <a:solidFill>
                <a:srgbClr val="C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Dashboard'!$A$13:$A$53</c:f>
            </c:numRef>
          </c:cat>
          <c:val>
            <c:numRef>
              <c:f>'Burndown Dashboard'!$D$13:$D$53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Project Day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Cumulative Story Points Remaining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Sprint 1 Burndown Chart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'Burndown S1'!C3</c:f>
            </c:strRef>
          </c:tx>
          <c:spPr bwMode="auto">
            <a:prstGeom prst="rect">
              <a:avLst/>
            </a:prstGeom>
            <a:ln w="20000">
              <a:solidFill>
                <a:srgbClr val="70AD47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S1'!$A$4:$A$14</c:f>
            </c:numRef>
          </c:cat>
          <c:val>
            <c:numRef>
              <c:f>'Burndown S1'!$C$4:$C$14</c:f>
              <c:numCache>
                <c:formatCode>General</c:formatCode>
                <c:ptCount val="11"/>
                <c:pt idx="0">
                  <c:v>18</c:v>
                </c:pt>
                <c:pt idx="1">
                  <c:v>16.2</c:v>
                </c:pt>
                <c:pt idx="2">
                  <c:v>14.4</c:v>
                </c:pt>
                <c:pt idx="3">
                  <c:v>12.6</c:v>
                </c:pt>
                <c:pt idx="4">
                  <c:v>10.8</c:v>
                </c:pt>
                <c:pt idx="5">
                  <c:v>9</c:v>
                </c:pt>
                <c:pt idx="6">
                  <c:v>7.199999999999999</c:v>
                </c:pt>
                <c:pt idx="7">
                  <c:v>5.4</c:v>
                </c:pt>
                <c:pt idx="8">
                  <c:v>3.5999999999999996</c:v>
                </c:pt>
                <c:pt idx="9">
                  <c:v>1.8000000000000007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'Burndown S1'!D3</c:f>
            </c:strRef>
          </c:tx>
          <c:spPr bwMode="auto">
            <a:prstGeom prst="rect">
              <a:avLst/>
            </a:prstGeom>
            <a:ln w="30000">
              <a:solidFill>
                <a:srgbClr val="C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S1'!$A$4:$A$14</c:f>
            </c:numRef>
          </c:cat>
          <c:val>
            <c:numRef>
              <c:f>'Burndown S1'!$D$4:$D$14</c:f>
              <c:numCache>
                <c:formatCode>General</c:formatCode>
                <c:ptCount val="11"/>
                <c:pt idx="0">
                  <c:v>18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Day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Story Points Remaining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Sprint 2 Burndown Chart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'Burndown S2'!C3</c:f>
            </c:strRef>
          </c:tx>
          <c:spPr bwMode="auto">
            <a:prstGeom prst="rect">
              <a:avLst/>
            </a:prstGeom>
            <a:ln w="20000">
              <a:solidFill>
                <a:srgbClr val="4472C4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S2'!$A$4:$A$14</c:f>
            </c:numRef>
          </c:cat>
          <c:val>
            <c:numRef>
              <c:f>'Burndown S2'!$C$4:$C$14</c:f>
            </c:numRef>
          </c:val>
          <c:smooth val="0"/>
        </c:ser>
        <c:ser>
          <c:idx val="1"/>
          <c:order val="1"/>
          <c:tx>
            <c:strRef>
              <c:f>'Burndown S2'!D3</c:f>
            </c:strRef>
          </c:tx>
          <c:spPr bwMode="auto">
            <a:prstGeom prst="rect">
              <a:avLst/>
            </a:prstGeom>
            <a:ln w="30000">
              <a:solidFill>
                <a:srgbClr val="C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S2'!$A$4:$A$14</c:f>
            </c:numRef>
          </c:cat>
          <c:val>
            <c:numRef>
              <c:f>'Burndown S2'!$D$4:$D$14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Day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Story Points Remaining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Sprint 3 Burndown Chart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'Burndown S3'!C3</c:f>
            </c:strRef>
          </c:tx>
          <c:spPr bwMode="auto">
            <a:prstGeom prst="rect">
              <a:avLst/>
            </a:prstGeom>
            <a:ln w="20000">
              <a:solidFill>
                <a:srgbClr val="ED7D31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S3'!$A$4:$A$14</c:f>
            </c:numRef>
          </c:cat>
          <c:val>
            <c:numRef>
              <c:f>'Burndown S3'!$C$4:$C$14</c:f>
            </c:numRef>
          </c:val>
          <c:smooth val="0"/>
        </c:ser>
        <c:ser>
          <c:idx val="1"/>
          <c:order val="1"/>
          <c:tx>
            <c:strRef>
              <c:f>'Burndown S3'!D3</c:f>
            </c:strRef>
          </c:tx>
          <c:spPr bwMode="auto">
            <a:prstGeom prst="rect">
              <a:avLst/>
            </a:prstGeom>
            <a:ln w="30000">
              <a:solidFill>
                <a:srgbClr val="C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S3'!$A$4:$A$14</c:f>
            </c:numRef>
          </c:cat>
          <c:val>
            <c:numRef>
              <c:f>'Burndown S3'!$D$4:$D$14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Day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Story Points Remaining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10"/>
    </mc:Choice>
    <mc:Fallback>
      <c:style val="10"/>
    </mc:Fallback>
  </mc:AlternateContent>
  <c:chart>
    <c:title>
      <c:tx>
        <c:rich>
          <a:bodyPr/>
          <a:p>
            <a:pPr>
              <a:defRPr/>
            </a:pPr>
            <a:r>
              <a:rPr/>
              <a:t>Sprint 4 Burndown Chart</a:t>
            </a:r>
            <a:endParaRPr/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'Burndown S4'!C3</c:f>
            </c:strRef>
          </c:tx>
          <c:spPr bwMode="auto">
            <a:prstGeom prst="rect">
              <a:avLst/>
            </a:prstGeom>
            <a:ln w="20000">
              <a:solidFill>
                <a:srgbClr val="C0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S4'!$A$4:$A$14</c:f>
            </c:numRef>
          </c:cat>
          <c:val>
            <c:numRef>
              <c:f>'Burndown S4'!$C$4:$C$14</c:f>
            </c:numRef>
          </c:val>
          <c:smooth val="0"/>
        </c:ser>
        <c:ser>
          <c:idx val="1"/>
          <c:order val="1"/>
          <c:tx>
            <c:strRef>
              <c:f>'Burndown S4'!D3</c:f>
            </c:strRef>
          </c:tx>
          <c:spPr bwMode="auto">
            <a:prstGeom prst="rect">
              <a:avLst/>
            </a:prstGeom>
            <a:ln w="30000">
              <a:solidFill>
                <a:srgbClr val="FF0000"/>
              </a:solidFill>
              <a:prstDash val="solid"/>
            </a:ln>
          </c:spPr>
          <c:marker>
            <c:symbol val="none"/>
            <c:spPr bwMode="auto">
              <a:ln>
                <a:prstDash val="solid"/>
              </a:ln>
            </c:spPr>
          </c:marker>
          <c:cat>
            <c:numRef>
              <c:f>'Burndown S4'!$A$4:$A$14</c:f>
            </c:numRef>
          </c:cat>
          <c:val>
            <c:numRef>
              <c:f>'Burndown S4'!$D$4:$D$14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p>
                <a:pPr>
                  <a:defRPr/>
                </a:pPr>
                <a:r>
                  <a:rPr/>
                  <a:t>Day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0"/>
        <c:crosses val="autoZero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 bwMode="auto"/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Story Points Remaining</a:t>
                </a:r>
                <a:endParaRPr/>
              </a:p>
            </c:rich>
          </c:tx>
          <c:layout/>
          <c:overlay val="0"/>
        </c:title>
        <c:majorTickMark val="none"/>
        <c:minorTickMark val="none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/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5</xdr:col>
      <xdr:colOff>0</xdr:colOff>
      <xdr:row>4</xdr:row>
      <xdr:rowOff>0</xdr:rowOff>
    </xdr:from>
    <xdr:ext cx="12600000" cy="72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0</xdr:colOff>
      <xdr:row>2</xdr:row>
      <xdr:rowOff>0</xdr:rowOff>
    </xdr:from>
    <xdr:ext cx="9000000" cy="54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0</xdr:colOff>
      <xdr:row>2</xdr:row>
      <xdr:rowOff>0</xdr:rowOff>
    </xdr:from>
    <xdr:ext cx="9000000" cy="54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0</xdr:colOff>
      <xdr:row>2</xdr:row>
      <xdr:rowOff>0</xdr:rowOff>
    </xdr:from>
    <xdr:ext cx="9000000" cy="54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0</xdr:colOff>
      <xdr:row>2</xdr:row>
      <xdr:rowOff>0</xdr:rowOff>
    </xdr:from>
    <xdr:ext cx="9000000" cy="5400000"/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0"/>
    <col customWidth="1" min="3" max="4" width="20"/>
    <col customWidth="1" min="5" max="5" width="15"/>
  </cols>
  <sheetData>
    <row r="1" ht="21">
      <c r="A1" s="1" t="s">
        <v>0</v>
      </c>
    </row>
    <row r="3" ht="16.5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/>
      <c r="F5" s="3"/>
      <c r="G5" s="3"/>
    </row>
    <row r="6">
      <c r="A6" t="s">
        <v>6</v>
      </c>
      <c r="B6">
        <v>0</v>
      </c>
      <c r="C6">
        <v>18</v>
      </c>
      <c r="D6">
        <v>1.8</v>
      </c>
    </row>
    <row r="7">
      <c r="A7" t="s">
        <v>7</v>
      </c>
      <c r="B7">
        <v>10</v>
      </c>
      <c r="C7">
        <v>37</v>
      </c>
      <c r="D7">
        <v>3.7000000000000002</v>
      </c>
    </row>
    <row r="8">
      <c r="A8" t="s">
        <v>8</v>
      </c>
      <c r="B8">
        <v>20</v>
      </c>
      <c r="C8">
        <v>29</v>
      </c>
      <c r="D8">
        <v>2.8999999999999999</v>
      </c>
    </row>
    <row r="9">
      <c r="A9" t="s">
        <v>9</v>
      </c>
      <c r="B9">
        <v>30</v>
      </c>
      <c r="C9">
        <v>50</v>
      </c>
      <c r="D9">
        <v>5</v>
      </c>
    </row>
    <row r="11">
      <c r="A11" s="3" t="s">
        <v>10</v>
      </c>
      <c r="B11" s="3"/>
      <c r="C11" s="3"/>
      <c r="D11" s="3"/>
      <c r="E11" s="3"/>
      <c r="F11" s="3"/>
      <c r="G11" s="3"/>
    </row>
    <row r="12">
      <c r="A12" t="s">
        <v>11</v>
      </c>
      <c r="B12" t="s">
        <v>2</v>
      </c>
      <c r="C12" t="s">
        <v>12</v>
      </c>
      <c r="D12" t="s">
        <v>13</v>
      </c>
      <c r="E12" t="s">
        <v>14</v>
      </c>
    </row>
    <row r="13">
      <c r="A13">
        <v>0</v>
      </c>
      <c r="B13">
        <v>1</v>
      </c>
      <c r="C13">
        <v>134</v>
      </c>
      <c r="E13" t="s">
        <v>15</v>
      </c>
    </row>
    <row r="14">
      <c r="A14">
        <v>1</v>
      </c>
      <c r="B14">
        <v>1</v>
      </c>
      <c r="C14">
        <v>132.19999999999999</v>
      </c>
    </row>
    <row r="15">
      <c r="A15">
        <v>2</v>
      </c>
      <c r="B15">
        <v>1</v>
      </c>
      <c r="C15">
        <v>130.40000000000001</v>
      </c>
    </row>
    <row r="16">
      <c r="A16">
        <v>3</v>
      </c>
      <c r="B16">
        <v>1</v>
      </c>
      <c r="C16">
        <v>128.59999999999999</v>
      </c>
    </row>
    <row r="17">
      <c r="A17">
        <v>4</v>
      </c>
      <c r="B17">
        <v>1</v>
      </c>
      <c r="C17">
        <v>126.8</v>
      </c>
    </row>
    <row r="18">
      <c r="A18">
        <v>5</v>
      </c>
      <c r="B18">
        <v>1</v>
      </c>
      <c r="C18">
        <v>125</v>
      </c>
    </row>
    <row r="19">
      <c r="A19">
        <v>6</v>
      </c>
      <c r="B19">
        <v>1</v>
      </c>
      <c r="C19">
        <v>123.2</v>
      </c>
    </row>
    <row r="20">
      <c r="A20">
        <v>7</v>
      </c>
      <c r="B20">
        <v>1</v>
      </c>
      <c r="C20">
        <v>121.40000000000001</v>
      </c>
    </row>
    <row r="21">
      <c r="A21">
        <v>8</v>
      </c>
      <c r="B21">
        <v>1</v>
      </c>
      <c r="C21">
        <v>119.59999999999999</v>
      </c>
    </row>
    <row r="22">
      <c r="A22">
        <v>9</v>
      </c>
      <c r="B22">
        <v>1</v>
      </c>
      <c r="C22">
        <v>117.8</v>
      </c>
    </row>
    <row r="23">
      <c r="A23">
        <v>10</v>
      </c>
      <c r="B23">
        <v>1</v>
      </c>
      <c r="C23">
        <v>116</v>
      </c>
      <c r="E23" t="s">
        <v>15</v>
      </c>
    </row>
    <row r="24">
      <c r="A24">
        <v>11</v>
      </c>
      <c r="B24">
        <v>2</v>
      </c>
      <c r="C24">
        <v>112.3</v>
      </c>
    </row>
    <row r="25">
      <c r="A25">
        <v>12</v>
      </c>
      <c r="B25">
        <v>2</v>
      </c>
      <c r="C25">
        <v>108.59999999999999</v>
      </c>
    </row>
    <row r="26">
      <c r="A26">
        <v>13</v>
      </c>
      <c r="B26">
        <v>2</v>
      </c>
      <c r="C26">
        <v>104.90000000000001</v>
      </c>
    </row>
    <row r="27">
      <c r="A27">
        <v>14</v>
      </c>
      <c r="B27">
        <v>2</v>
      </c>
      <c r="C27">
        <v>101.2</v>
      </c>
    </row>
    <row r="28">
      <c r="A28">
        <v>15</v>
      </c>
      <c r="B28">
        <v>2</v>
      </c>
      <c r="C28">
        <v>97.5</v>
      </c>
    </row>
    <row r="29">
      <c r="A29">
        <v>16</v>
      </c>
      <c r="B29">
        <v>2</v>
      </c>
      <c r="C29">
        <v>93.799999999999997</v>
      </c>
    </row>
    <row r="30">
      <c r="A30">
        <v>17</v>
      </c>
      <c r="B30">
        <v>2</v>
      </c>
      <c r="C30">
        <v>90.099999999999994</v>
      </c>
    </row>
    <row r="31">
      <c r="A31">
        <v>18</v>
      </c>
      <c r="B31">
        <v>2</v>
      </c>
      <c r="C31">
        <v>86.400000000000006</v>
      </c>
    </row>
    <row r="32">
      <c r="A32">
        <v>19</v>
      </c>
      <c r="B32">
        <v>2</v>
      </c>
      <c r="C32">
        <v>82.700000000000003</v>
      </c>
    </row>
    <row r="33">
      <c r="A33">
        <v>20</v>
      </c>
      <c r="B33">
        <v>2</v>
      </c>
      <c r="C33">
        <v>79</v>
      </c>
      <c r="E33" t="s">
        <v>15</v>
      </c>
    </row>
    <row r="34">
      <c r="A34">
        <v>21</v>
      </c>
      <c r="B34">
        <v>3</v>
      </c>
      <c r="C34">
        <v>76.099999999999994</v>
      </c>
    </row>
    <row r="35">
      <c r="A35">
        <v>22</v>
      </c>
      <c r="B35">
        <v>3</v>
      </c>
      <c r="C35">
        <v>73.200000000000003</v>
      </c>
    </row>
    <row r="36">
      <c r="A36">
        <v>23</v>
      </c>
      <c r="B36">
        <v>3</v>
      </c>
      <c r="C36">
        <v>70.299999999999997</v>
      </c>
    </row>
    <row r="37">
      <c r="A37">
        <v>24</v>
      </c>
      <c r="B37">
        <v>3</v>
      </c>
      <c r="C37">
        <v>67.400000000000006</v>
      </c>
    </row>
    <row r="38">
      <c r="A38">
        <v>25</v>
      </c>
      <c r="B38">
        <v>3</v>
      </c>
      <c r="C38">
        <v>64.5</v>
      </c>
    </row>
    <row r="39">
      <c r="A39">
        <v>26</v>
      </c>
      <c r="B39">
        <v>3</v>
      </c>
      <c r="C39">
        <v>61.600000000000001</v>
      </c>
    </row>
    <row r="40">
      <c r="A40">
        <v>27</v>
      </c>
      <c r="B40">
        <v>3</v>
      </c>
      <c r="C40">
        <v>58.700000000000003</v>
      </c>
    </row>
    <row r="41">
      <c r="A41">
        <v>28</v>
      </c>
      <c r="B41">
        <v>3</v>
      </c>
      <c r="C41">
        <v>55.799999999999997</v>
      </c>
    </row>
    <row r="42">
      <c r="A42">
        <v>29</v>
      </c>
      <c r="B42">
        <v>3</v>
      </c>
      <c r="C42">
        <v>52.899999999999999</v>
      </c>
    </row>
    <row r="43">
      <c r="A43">
        <v>30</v>
      </c>
      <c r="B43">
        <v>3</v>
      </c>
      <c r="C43">
        <v>50</v>
      </c>
      <c r="E43" t="s">
        <v>15</v>
      </c>
    </row>
    <row r="44">
      <c r="A44">
        <v>31</v>
      </c>
      <c r="B44">
        <v>4</v>
      </c>
      <c r="C44">
        <v>45</v>
      </c>
    </row>
    <row r="45">
      <c r="A45">
        <v>32</v>
      </c>
      <c r="B45">
        <v>4</v>
      </c>
      <c r="C45">
        <v>40</v>
      </c>
    </row>
    <row r="46">
      <c r="A46">
        <v>33</v>
      </c>
      <c r="B46">
        <v>4</v>
      </c>
      <c r="C46">
        <v>35</v>
      </c>
    </row>
    <row r="47">
      <c r="A47">
        <v>34</v>
      </c>
      <c r="B47">
        <v>4</v>
      </c>
      <c r="C47">
        <v>30</v>
      </c>
    </row>
    <row r="48">
      <c r="A48">
        <v>35</v>
      </c>
      <c r="B48">
        <v>4</v>
      </c>
      <c r="C48">
        <v>25</v>
      </c>
    </row>
    <row r="49">
      <c r="A49">
        <v>36</v>
      </c>
      <c r="B49">
        <v>4</v>
      </c>
      <c r="C49">
        <v>20</v>
      </c>
    </row>
    <row r="50">
      <c r="A50">
        <v>37</v>
      </c>
      <c r="B50">
        <v>4</v>
      </c>
      <c r="C50">
        <v>15</v>
      </c>
    </row>
    <row r="51">
      <c r="A51">
        <v>38</v>
      </c>
      <c r="B51">
        <v>4</v>
      </c>
      <c r="C51">
        <v>10</v>
      </c>
    </row>
    <row r="52">
      <c r="A52">
        <v>39</v>
      </c>
      <c r="B52">
        <v>4</v>
      </c>
      <c r="C52">
        <v>5</v>
      </c>
    </row>
    <row r="53">
      <c r="A53">
        <v>40</v>
      </c>
      <c r="B53">
        <v>4</v>
      </c>
      <c r="C53">
        <v>0</v>
      </c>
      <c r="E53" t="s">
        <v>16</v>
      </c>
    </row>
    <row r="55">
      <c r="A55" t="s">
        <v>17</v>
      </c>
    </row>
    <row r="56">
      <c r="A56" t="s">
        <v>18</v>
      </c>
      <c r="B56" t="e">
        <f>Ideal burndown (linear)</f>
        <v>#VALUE!</v>
      </c>
    </row>
    <row r="57">
      <c r="A57" t="s">
        <v>19</v>
      </c>
      <c r="B57" t="e">
        <f>Actual burndown (update daily)</f>
        <v>#VALUE!</v>
      </c>
    </row>
    <row r="59">
      <c r="A59" t="s">
        <v>20</v>
      </c>
    </row>
    <row r="60">
      <c r="A60" t="s">
        <v>21</v>
      </c>
    </row>
    <row r="61">
      <c r="A61" t="s">
        <v>22</v>
      </c>
    </row>
    <row r="62">
      <c r="A62" t="s">
        <v>23</v>
      </c>
    </row>
    <row r="63">
      <c r="A63" t="s">
        <v>24</v>
      </c>
    </row>
  </sheetData>
  <mergeCells count="2">
    <mergeCell ref="A1:G1"/>
    <mergeCell ref="A3:G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0"/>
    <col customWidth="1" min="2" max="2" width="60"/>
    <col customWidth="1" min="3" max="3" width="12"/>
    <col customWidth="1" min="4" max="4" width="14"/>
    <col customWidth="1" min="5" max="5" width="10"/>
    <col customWidth="1" min="6" max="7" width="15"/>
    <col customWidth="1" min="8" max="8" width="12"/>
    <col customWidth="1" min="9" max="9" width="30"/>
  </cols>
  <sheetData>
    <row r="1">
      <c r="A1" s="4" t="s">
        <v>25</v>
      </c>
      <c r="B1" s="4" t="s">
        <v>26</v>
      </c>
      <c r="C1" s="4" t="s">
        <v>27</v>
      </c>
      <c r="D1" s="4" t="s">
        <v>28</v>
      </c>
      <c r="E1" s="4" t="s">
        <v>2</v>
      </c>
      <c r="F1" s="4" t="s">
        <v>29</v>
      </c>
      <c r="G1" s="4" t="s">
        <v>30</v>
      </c>
      <c r="H1" s="4" t="s">
        <v>14</v>
      </c>
      <c r="I1" s="4" t="s">
        <v>31</v>
      </c>
    </row>
    <row r="2">
      <c r="A2" t="s">
        <v>32</v>
      </c>
      <c r="B2" t="s">
        <v>33</v>
      </c>
      <c r="C2" t="s">
        <v>34</v>
      </c>
      <c r="D2">
        <v>3</v>
      </c>
      <c r="E2">
        <v>1</v>
      </c>
      <c r="F2" t="s">
        <v>35</v>
      </c>
      <c r="G2" t="s">
        <v>36</v>
      </c>
    </row>
    <row r="3">
      <c r="A3" t="s">
        <v>37</v>
      </c>
      <c r="B3" t="s">
        <v>38</v>
      </c>
      <c r="C3" t="s">
        <v>34</v>
      </c>
      <c r="D3">
        <v>5</v>
      </c>
      <c r="E3">
        <v>1</v>
      </c>
      <c r="F3" t="s">
        <v>35</v>
      </c>
      <c r="G3" t="s">
        <v>36</v>
      </c>
    </row>
    <row r="4">
      <c r="A4" t="s">
        <v>39</v>
      </c>
      <c r="B4" t="s">
        <v>40</v>
      </c>
      <c r="C4" t="s">
        <v>34</v>
      </c>
      <c r="D4">
        <v>5</v>
      </c>
      <c r="E4">
        <v>1</v>
      </c>
      <c r="F4" t="s">
        <v>41</v>
      </c>
      <c r="G4" t="s">
        <v>35</v>
      </c>
    </row>
    <row r="5">
      <c r="A5" t="s">
        <v>42</v>
      </c>
      <c r="B5" t="s">
        <v>43</v>
      </c>
      <c r="C5" t="s">
        <v>34</v>
      </c>
      <c r="D5">
        <v>5</v>
      </c>
      <c r="E5">
        <v>1</v>
      </c>
      <c r="F5" t="s">
        <v>41</v>
      </c>
      <c r="G5" t="s">
        <v>35</v>
      </c>
    </row>
    <row r="6">
      <c r="A6" s="5"/>
      <c r="B6" s="5" t="s">
        <v>44</v>
      </c>
      <c r="C6" s="5"/>
      <c r="D6" s="5">
        <f>SUM(D2:D5)</f>
        <v>18</v>
      </c>
      <c r="E6" s="5"/>
      <c r="F6" s="5"/>
      <c r="G6" s="5"/>
      <c r="H6" s="5"/>
      <c r="I6" s="5"/>
    </row>
    <row r="8">
      <c r="A8" t="s">
        <v>45</v>
      </c>
      <c r="B8" t="s">
        <v>46</v>
      </c>
      <c r="C8" t="s">
        <v>34</v>
      </c>
      <c r="D8">
        <v>8</v>
      </c>
      <c r="E8">
        <v>2</v>
      </c>
      <c r="F8" t="s">
        <v>35</v>
      </c>
      <c r="G8" t="s">
        <v>41</v>
      </c>
    </row>
    <row r="9">
      <c r="A9" t="s">
        <v>47</v>
      </c>
      <c r="B9" t="s">
        <v>48</v>
      </c>
      <c r="C9" t="s">
        <v>34</v>
      </c>
      <c r="D9">
        <v>13</v>
      </c>
      <c r="E9">
        <v>2</v>
      </c>
      <c r="F9" t="s">
        <v>49</v>
      </c>
      <c r="G9" t="s">
        <v>41</v>
      </c>
    </row>
    <row r="10">
      <c r="A10" t="s">
        <v>50</v>
      </c>
      <c r="B10" t="s">
        <v>51</v>
      </c>
      <c r="C10" t="s">
        <v>34</v>
      </c>
      <c r="D10">
        <v>8</v>
      </c>
      <c r="E10">
        <v>2</v>
      </c>
      <c r="F10" t="s">
        <v>41</v>
      </c>
      <c r="G10" t="s">
        <v>35</v>
      </c>
    </row>
    <row r="11">
      <c r="A11" t="s">
        <v>52</v>
      </c>
      <c r="B11" t="s">
        <v>53</v>
      </c>
      <c r="C11" t="s">
        <v>54</v>
      </c>
      <c r="D11">
        <v>8</v>
      </c>
      <c r="E11">
        <v>2</v>
      </c>
      <c r="F11" t="s">
        <v>55</v>
      </c>
      <c r="G11" t="s">
        <v>41</v>
      </c>
    </row>
    <row r="12">
      <c r="A12" s="5"/>
      <c r="B12" s="5" t="s">
        <v>56</v>
      </c>
      <c r="C12" s="5"/>
      <c r="D12" s="5">
        <f>SUM(D8:D11)</f>
        <v>37</v>
      </c>
      <c r="E12" s="5"/>
      <c r="F12" s="5"/>
      <c r="G12" s="5"/>
      <c r="H12" s="5"/>
      <c r="I12" s="5"/>
    </row>
    <row r="14">
      <c r="A14" t="s">
        <v>57</v>
      </c>
      <c r="B14" t="s">
        <v>58</v>
      </c>
      <c r="C14" t="s">
        <v>34</v>
      </c>
      <c r="D14">
        <v>8</v>
      </c>
      <c r="E14">
        <v>3</v>
      </c>
      <c r="F14" t="s">
        <v>35</v>
      </c>
      <c r="G14" t="s">
        <v>59</v>
      </c>
    </row>
    <row r="15">
      <c r="A15" t="s">
        <v>60</v>
      </c>
      <c r="B15" t="s">
        <v>61</v>
      </c>
      <c r="C15" t="s">
        <v>34</v>
      </c>
      <c r="D15">
        <v>8</v>
      </c>
      <c r="E15">
        <v>3</v>
      </c>
      <c r="F15" t="s">
        <v>35</v>
      </c>
      <c r="G15" t="s">
        <v>36</v>
      </c>
    </row>
    <row r="16">
      <c r="A16" t="s">
        <v>62</v>
      </c>
      <c r="B16" t="s">
        <v>63</v>
      </c>
      <c r="C16" t="s">
        <v>34</v>
      </c>
      <c r="D16">
        <v>13</v>
      </c>
      <c r="E16">
        <v>3</v>
      </c>
      <c r="F16" t="s">
        <v>64</v>
      </c>
    </row>
    <row r="17">
      <c r="A17" s="5"/>
      <c r="B17" s="5" t="s">
        <v>65</v>
      </c>
      <c r="C17" s="5"/>
      <c r="D17" s="5">
        <f>SUM(D14:D16)</f>
        <v>29</v>
      </c>
      <c r="E17" s="5"/>
      <c r="F17" s="5"/>
      <c r="G17" s="5"/>
      <c r="H17" s="5"/>
      <c r="I17" s="5"/>
    </row>
    <row r="19">
      <c r="A19" t="s">
        <v>66</v>
      </c>
      <c r="B19" t="s">
        <v>67</v>
      </c>
      <c r="C19" t="s">
        <v>68</v>
      </c>
      <c r="D19">
        <v>21</v>
      </c>
      <c r="E19">
        <v>4</v>
      </c>
      <c r="F19" t="s">
        <v>35</v>
      </c>
      <c r="G19" t="s">
        <v>69</v>
      </c>
    </row>
    <row r="20">
      <c r="A20" t="s">
        <v>70</v>
      </c>
      <c r="B20" t="s">
        <v>71</v>
      </c>
      <c r="C20" t="s">
        <v>54</v>
      </c>
      <c r="D20">
        <v>8</v>
      </c>
      <c r="E20">
        <v>4</v>
      </c>
      <c r="F20" t="s">
        <v>35</v>
      </c>
      <c r="G20" t="s">
        <v>41</v>
      </c>
    </row>
    <row r="21">
      <c r="A21" t="s">
        <v>72</v>
      </c>
      <c r="B21" t="s">
        <v>73</v>
      </c>
      <c r="C21" t="s">
        <v>54</v>
      </c>
      <c r="D21">
        <v>13</v>
      </c>
      <c r="E21">
        <v>4</v>
      </c>
      <c r="F21" t="s">
        <v>35</v>
      </c>
      <c r="G21" t="s">
        <v>41</v>
      </c>
    </row>
    <row r="22">
      <c r="A22" t="s">
        <v>74</v>
      </c>
      <c r="B22" t="s">
        <v>75</v>
      </c>
      <c r="C22" t="s">
        <v>76</v>
      </c>
      <c r="D22">
        <v>3</v>
      </c>
      <c r="E22">
        <v>4</v>
      </c>
      <c r="F22" t="s">
        <v>36</v>
      </c>
      <c r="G22" t="s">
        <v>35</v>
      </c>
    </row>
    <row r="23">
      <c r="A23" t="s">
        <v>77</v>
      </c>
      <c r="B23" t="s">
        <v>78</v>
      </c>
      <c r="C23" t="s">
        <v>54</v>
      </c>
      <c r="D23">
        <v>5</v>
      </c>
      <c r="E23">
        <v>4</v>
      </c>
      <c r="F23" t="s">
        <v>41</v>
      </c>
      <c r="G23" t="s">
        <v>35</v>
      </c>
    </row>
    <row r="24">
      <c r="A24" s="5"/>
      <c r="B24" s="5" t="s">
        <v>79</v>
      </c>
      <c r="C24" s="5"/>
      <c r="D24" s="5">
        <f>SUM(D19:D23)</f>
        <v>50</v>
      </c>
      <c r="E24" s="5"/>
      <c r="F24" s="5"/>
      <c r="G24" s="5"/>
      <c r="H24" s="5"/>
      <c r="I24" s="5"/>
    </row>
    <row r="26">
      <c r="A26" s="5"/>
      <c r="B26" s="5" t="s">
        <v>80</v>
      </c>
      <c r="C26" s="5"/>
      <c r="D26" s="5">
        <f>SUM(D6,D12,D17,D24)</f>
        <v>134</v>
      </c>
      <c r="E26" s="5"/>
      <c r="F26" s="5"/>
      <c r="G26" s="5"/>
      <c r="H26" s="5"/>
      <c r="I26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4" width="15"/>
  </cols>
  <sheetData>
    <row r="1">
      <c r="A1" s="6" t="s">
        <v>81</v>
      </c>
      <c r="B1" s="6" t="s">
        <v>29</v>
      </c>
      <c r="C1" s="6" t="s">
        <v>82</v>
      </c>
      <c r="D1" s="6" t="s">
        <v>83</v>
      </c>
      <c r="E1" s="6" t="s">
        <v>14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</row>
    <row r="2">
      <c r="A2" t="s">
        <v>90</v>
      </c>
      <c r="B2" t="s">
        <v>36</v>
      </c>
      <c r="C2">
        <v>16</v>
      </c>
      <c r="G2" t="s">
        <v>91</v>
      </c>
      <c r="H2" t="s">
        <v>91</v>
      </c>
    </row>
    <row r="3">
      <c r="A3" t="s">
        <v>92</v>
      </c>
      <c r="B3" t="s">
        <v>35</v>
      </c>
      <c r="C3">
        <v>8</v>
      </c>
      <c r="F3" t="s">
        <v>93</v>
      </c>
      <c r="H3" t="s">
        <v>91</v>
      </c>
    </row>
    <row r="4">
      <c r="A4" t="s">
        <v>94</v>
      </c>
      <c r="B4" t="s">
        <v>41</v>
      </c>
      <c r="C4">
        <v>12</v>
      </c>
      <c r="G4" t="s">
        <v>91</v>
      </c>
      <c r="H4" t="s">
        <v>91</v>
      </c>
    </row>
    <row r="5">
      <c r="A5" t="s">
        <v>95</v>
      </c>
      <c r="B5" t="s">
        <v>41</v>
      </c>
      <c r="C5">
        <v>8</v>
      </c>
      <c r="G5" t="s">
        <v>91</v>
      </c>
    </row>
    <row r="6">
      <c r="A6" t="s">
        <v>96</v>
      </c>
      <c r="B6" t="s">
        <v>35</v>
      </c>
      <c r="C6">
        <v>10</v>
      </c>
      <c r="F6" t="s">
        <v>97</v>
      </c>
      <c r="I6" t="s">
        <v>91</v>
      </c>
    </row>
    <row r="7">
      <c r="A7" t="s">
        <v>98</v>
      </c>
      <c r="B7" t="s">
        <v>35</v>
      </c>
      <c r="C7">
        <v>12</v>
      </c>
      <c r="I7" t="s">
        <v>91</v>
      </c>
      <c r="J7" t="s">
        <v>91</v>
      </c>
    </row>
    <row r="8">
      <c r="A8" t="s">
        <v>99</v>
      </c>
      <c r="B8" t="s">
        <v>41</v>
      </c>
      <c r="C8">
        <v>10</v>
      </c>
      <c r="I8" t="s">
        <v>91</v>
      </c>
      <c r="J8" t="s">
        <v>91</v>
      </c>
    </row>
    <row r="9">
      <c r="A9" t="s">
        <v>100</v>
      </c>
      <c r="B9" t="s">
        <v>59</v>
      </c>
      <c r="C9">
        <v>8</v>
      </c>
      <c r="J9" t="s">
        <v>91</v>
      </c>
    </row>
    <row r="10">
      <c r="A10" t="s">
        <v>101</v>
      </c>
      <c r="B10" t="s">
        <v>59</v>
      </c>
      <c r="C10">
        <v>6</v>
      </c>
      <c r="F10" t="s">
        <v>102</v>
      </c>
      <c r="K10" t="s">
        <v>91</v>
      </c>
    </row>
    <row r="11">
      <c r="A11" t="s">
        <v>103</v>
      </c>
      <c r="B11" t="s">
        <v>104</v>
      </c>
      <c r="C11">
        <v>2</v>
      </c>
      <c r="K11" t="s">
        <v>91</v>
      </c>
    </row>
    <row r="12">
      <c r="A12" t="s">
        <v>105</v>
      </c>
      <c r="B12" t="s">
        <v>104</v>
      </c>
      <c r="C12">
        <v>1</v>
      </c>
      <c r="K12" t="s">
        <v>91</v>
      </c>
    </row>
    <row r="14">
      <c r="A14" t="s">
        <v>106</v>
      </c>
      <c r="C14">
        <f>SUM(C2:C12)</f>
        <v>93</v>
      </c>
      <c r="D14">
        <f>SUM(D2:D12)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4" width="15"/>
  </cols>
  <sheetData>
    <row r="1">
      <c r="A1" s="7" t="s">
        <v>81</v>
      </c>
      <c r="B1" s="7" t="s">
        <v>29</v>
      </c>
      <c r="C1" s="7" t="s">
        <v>82</v>
      </c>
      <c r="D1" s="7" t="s">
        <v>83</v>
      </c>
      <c r="E1" s="7" t="s">
        <v>14</v>
      </c>
      <c r="F1" s="7" t="s">
        <v>31</v>
      </c>
      <c r="G1" s="7" t="s">
        <v>107</v>
      </c>
      <c r="H1" s="7" t="s">
        <v>108</v>
      </c>
    </row>
    <row r="2">
      <c r="A2" t="s">
        <v>109</v>
      </c>
      <c r="B2" t="s">
        <v>36</v>
      </c>
      <c r="C2">
        <v>20</v>
      </c>
      <c r="F2" t="s">
        <v>110</v>
      </c>
      <c r="G2" t="s">
        <v>91</v>
      </c>
    </row>
    <row r="3">
      <c r="A3" t="s">
        <v>111</v>
      </c>
      <c r="B3" t="s">
        <v>41</v>
      </c>
      <c r="C3">
        <v>12</v>
      </c>
      <c r="F3" t="s">
        <v>112</v>
      </c>
      <c r="G3" t="s">
        <v>91</v>
      </c>
    </row>
    <row r="4">
      <c r="A4" t="s">
        <v>113</v>
      </c>
      <c r="B4" t="s">
        <v>64</v>
      </c>
      <c r="C4">
        <v>16</v>
      </c>
      <c r="F4" t="s">
        <v>114</v>
      </c>
      <c r="G4" t="s">
        <v>91</v>
      </c>
      <c r="H4" t="s">
        <v>91</v>
      </c>
    </row>
    <row r="5">
      <c r="A5" t="s">
        <v>115</v>
      </c>
      <c r="B5" t="s">
        <v>49</v>
      </c>
      <c r="C5">
        <v>24</v>
      </c>
      <c r="F5" t="s">
        <v>116</v>
      </c>
      <c r="G5" t="s">
        <v>91</v>
      </c>
      <c r="H5" t="s">
        <v>91</v>
      </c>
    </row>
    <row r="6">
      <c r="A6" t="s">
        <v>117</v>
      </c>
      <c r="B6" t="s">
        <v>41</v>
      </c>
      <c r="C6">
        <v>12</v>
      </c>
      <c r="F6" t="s">
        <v>118</v>
      </c>
      <c r="H6" t="s">
        <v>91</v>
      </c>
    </row>
    <row r="7">
      <c r="A7" t="s">
        <v>119</v>
      </c>
      <c r="B7" t="s">
        <v>36</v>
      </c>
      <c r="C7">
        <v>12</v>
      </c>
      <c r="F7" t="s">
        <v>120</v>
      </c>
      <c r="H7" t="s">
        <v>91</v>
      </c>
    </row>
    <row r="8">
      <c r="A8" t="s">
        <v>121</v>
      </c>
      <c r="B8" t="s">
        <v>35</v>
      </c>
      <c r="C8">
        <v>8</v>
      </c>
      <c r="H8" t="s">
        <v>91</v>
      </c>
    </row>
    <row r="9">
      <c r="A9" t="s">
        <v>122</v>
      </c>
      <c r="B9" t="s">
        <v>59</v>
      </c>
      <c r="C9">
        <v>12</v>
      </c>
      <c r="F9" t="s">
        <v>123</v>
      </c>
      <c r="G9" t="s">
        <v>91</v>
      </c>
      <c r="H9" t="s">
        <v>91</v>
      </c>
    </row>
    <row r="10">
      <c r="A10" t="s">
        <v>124</v>
      </c>
      <c r="B10" t="s">
        <v>59</v>
      </c>
      <c r="C10">
        <v>10</v>
      </c>
      <c r="H10" t="s">
        <v>91</v>
      </c>
    </row>
    <row r="11">
      <c r="A11" t="s">
        <v>125</v>
      </c>
      <c r="B11" t="s">
        <v>104</v>
      </c>
      <c r="C11">
        <v>2</v>
      </c>
      <c r="F11" t="s">
        <v>126</v>
      </c>
      <c r="H11" t="s">
        <v>91</v>
      </c>
    </row>
    <row r="12">
      <c r="A12" t="s">
        <v>105</v>
      </c>
      <c r="B12" t="s">
        <v>104</v>
      </c>
      <c r="C12">
        <v>1</v>
      </c>
      <c r="H12" t="s">
        <v>91</v>
      </c>
    </row>
    <row r="14">
      <c r="A14" t="s">
        <v>106</v>
      </c>
      <c r="C14">
        <f>SUM(C2:C12)</f>
        <v>129</v>
      </c>
      <c r="D14">
        <f>SUM(D2:D12)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4" width="15"/>
  </cols>
  <sheetData>
    <row r="1">
      <c r="A1" s="8" t="s">
        <v>81</v>
      </c>
      <c r="B1" s="8" t="s">
        <v>29</v>
      </c>
      <c r="C1" s="8" t="s">
        <v>82</v>
      </c>
      <c r="D1" s="8" t="s">
        <v>83</v>
      </c>
      <c r="E1" s="8" t="s">
        <v>14</v>
      </c>
      <c r="F1" s="8" t="s">
        <v>31</v>
      </c>
      <c r="G1" s="8" t="s">
        <v>127</v>
      </c>
      <c r="H1" s="8" t="s">
        <v>128</v>
      </c>
    </row>
    <row r="2">
      <c r="A2" t="s">
        <v>129</v>
      </c>
      <c r="B2" t="s">
        <v>35</v>
      </c>
      <c r="C2">
        <v>16</v>
      </c>
      <c r="F2" t="s">
        <v>130</v>
      </c>
      <c r="G2" t="s">
        <v>91</v>
      </c>
    </row>
    <row r="3">
      <c r="A3" t="s">
        <v>131</v>
      </c>
      <c r="B3" t="s">
        <v>35</v>
      </c>
      <c r="C3">
        <v>12</v>
      </c>
      <c r="F3" t="s">
        <v>132</v>
      </c>
      <c r="G3" t="s">
        <v>91</v>
      </c>
    </row>
    <row r="4">
      <c r="A4" t="s">
        <v>133</v>
      </c>
      <c r="B4" t="s">
        <v>36</v>
      </c>
      <c r="C4">
        <v>16</v>
      </c>
      <c r="F4" t="s">
        <v>134</v>
      </c>
      <c r="G4" t="s">
        <v>91</v>
      </c>
      <c r="H4" t="s">
        <v>91</v>
      </c>
    </row>
    <row r="5">
      <c r="A5" t="s">
        <v>135</v>
      </c>
      <c r="B5" t="s">
        <v>35</v>
      </c>
      <c r="C5">
        <v>12</v>
      </c>
      <c r="G5" t="s">
        <v>91</v>
      </c>
      <c r="H5" t="s">
        <v>91</v>
      </c>
    </row>
    <row r="6">
      <c r="A6" t="s">
        <v>136</v>
      </c>
      <c r="B6" t="s">
        <v>41</v>
      </c>
      <c r="C6">
        <v>8</v>
      </c>
      <c r="F6" t="s">
        <v>137</v>
      </c>
      <c r="H6" t="s">
        <v>91</v>
      </c>
    </row>
    <row r="7">
      <c r="A7" t="s">
        <v>138</v>
      </c>
      <c r="B7" t="s">
        <v>41</v>
      </c>
      <c r="C7">
        <v>12</v>
      </c>
      <c r="F7" t="s">
        <v>139</v>
      </c>
      <c r="G7" t="s">
        <v>91</v>
      </c>
    </row>
    <row r="8">
      <c r="A8" t="s">
        <v>140</v>
      </c>
      <c r="B8" t="s">
        <v>41</v>
      </c>
      <c r="C8">
        <v>8</v>
      </c>
      <c r="F8" t="s">
        <v>141</v>
      </c>
      <c r="H8" t="s">
        <v>91</v>
      </c>
    </row>
    <row r="9">
      <c r="A9" t="s">
        <v>142</v>
      </c>
      <c r="B9" t="s">
        <v>59</v>
      </c>
      <c r="C9">
        <v>12</v>
      </c>
      <c r="F9" t="s">
        <v>143</v>
      </c>
      <c r="G9" t="s">
        <v>91</v>
      </c>
    </row>
    <row r="10">
      <c r="A10" t="s">
        <v>144</v>
      </c>
      <c r="B10" t="s">
        <v>59</v>
      </c>
      <c r="C10">
        <v>10</v>
      </c>
      <c r="F10" t="s">
        <v>145</v>
      </c>
      <c r="H10" t="s">
        <v>91</v>
      </c>
    </row>
    <row r="11">
      <c r="A11" t="s">
        <v>146</v>
      </c>
      <c r="B11" t="s">
        <v>59</v>
      </c>
      <c r="C11">
        <v>8</v>
      </c>
      <c r="F11" t="s">
        <v>147</v>
      </c>
      <c r="H11" t="s">
        <v>91</v>
      </c>
    </row>
    <row r="12">
      <c r="A12" t="s">
        <v>125</v>
      </c>
      <c r="B12" t="s">
        <v>104</v>
      </c>
      <c r="C12">
        <v>2</v>
      </c>
      <c r="F12" t="s">
        <v>148</v>
      </c>
      <c r="H12" t="s">
        <v>91</v>
      </c>
    </row>
    <row r="13">
      <c r="A13" t="s">
        <v>105</v>
      </c>
      <c r="B13" t="s">
        <v>104</v>
      </c>
      <c r="C13">
        <v>1</v>
      </c>
      <c r="H13" t="s">
        <v>91</v>
      </c>
    </row>
    <row r="15">
      <c r="A15" t="s">
        <v>106</v>
      </c>
      <c r="C15">
        <f>SUM(C2:C13)</f>
        <v>117</v>
      </c>
      <c r="D15">
        <f>SUM(D2:D13)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4" width="15"/>
  </cols>
  <sheetData>
    <row r="1">
      <c r="A1" s="9" t="s">
        <v>81</v>
      </c>
      <c r="B1" s="9" t="s">
        <v>29</v>
      </c>
      <c r="C1" s="9" t="s">
        <v>82</v>
      </c>
      <c r="D1" s="9" t="s">
        <v>83</v>
      </c>
      <c r="E1" s="9" t="s">
        <v>14</v>
      </c>
      <c r="F1" s="9" t="s">
        <v>31</v>
      </c>
      <c r="G1" s="9" t="s">
        <v>149</v>
      </c>
      <c r="H1" s="9" t="s">
        <v>150</v>
      </c>
    </row>
    <row r="2">
      <c r="A2" t="s">
        <v>151</v>
      </c>
      <c r="B2" t="s">
        <v>36</v>
      </c>
      <c r="C2">
        <v>16</v>
      </c>
      <c r="F2" t="s">
        <v>152</v>
      </c>
      <c r="G2" t="s">
        <v>91</v>
      </c>
    </row>
    <row r="3">
      <c r="A3" t="s">
        <v>153</v>
      </c>
      <c r="B3" t="s">
        <v>154</v>
      </c>
      <c r="C3">
        <v>24</v>
      </c>
      <c r="F3" t="s">
        <v>155</v>
      </c>
      <c r="G3" t="s">
        <v>91</v>
      </c>
      <c r="H3" t="s">
        <v>91</v>
      </c>
    </row>
    <row r="4">
      <c r="A4" t="s">
        <v>156</v>
      </c>
      <c r="B4" t="s">
        <v>35</v>
      </c>
      <c r="C4">
        <v>20</v>
      </c>
      <c r="F4" t="s">
        <v>157</v>
      </c>
      <c r="G4" t="s">
        <v>91</v>
      </c>
      <c r="H4" t="s">
        <v>91</v>
      </c>
    </row>
    <row r="5">
      <c r="A5" t="s">
        <v>158</v>
      </c>
      <c r="B5" t="s">
        <v>35</v>
      </c>
      <c r="C5">
        <v>12</v>
      </c>
      <c r="F5" t="s">
        <v>159</v>
      </c>
      <c r="G5" t="s">
        <v>91</v>
      </c>
    </row>
    <row r="6">
      <c r="A6" t="s">
        <v>160</v>
      </c>
      <c r="B6" t="s">
        <v>35</v>
      </c>
      <c r="C6">
        <v>16</v>
      </c>
      <c r="F6" t="s">
        <v>161</v>
      </c>
      <c r="H6" t="s">
        <v>91</v>
      </c>
    </row>
    <row r="7">
      <c r="A7" t="s">
        <v>162</v>
      </c>
      <c r="B7" t="s">
        <v>41</v>
      </c>
      <c r="C7">
        <v>12</v>
      </c>
      <c r="F7" t="s">
        <v>163</v>
      </c>
      <c r="H7" t="s">
        <v>91</v>
      </c>
    </row>
    <row r="8">
      <c r="A8" t="s">
        <v>164</v>
      </c>
      <c r="B8" t="s">
        <v>36</v>
      </c>
      <c r="C8">
        <v>8</v>
      </c>
      <c r="H8" t="s">
        <v>91</v>
      </c>
    </row>
    <row r="9">
      <c r="A9" t="s">
        <v>165</v>
      </c>
      <c r="B9" t="s">
        <v>41</v>
      </c>
      <c r="C9">
        <v>8</v>
      </c>
      <c r="F9" t="s">
        <v>166</v>
      </c>
      <c r="G9" t="s">
        <v>91</v>
      </c>
    </row>
    <row r="10">
      <c r="A10" t="s">
        <v>167</v>
      </c>
      <c r="B10" t="s">
        <v>36</v>
      </c>
      <c r="C10">
        <v>12</v>
      </c>
      <c r="F10" t="s">
        <v>168</v>
      </c>
      <c r="H10" t="s">
        <v>91</v>
      </c>
    </row>
    <row r="11">
      <c r="A11" t="s">
        <v>169</v>
      </c>
      <c r="B11" t="s">
        <v>59</v>
      </c>
      <c r="C11">
        <v>16</v>
      </c>
      <c r="F11" t="s">
        <v>170</v>
      </c>
      <c r="G11" t="s">
        <v>91</v>
      </c>
      <c r="H11" t="s">
        <v>91</v>
      </c>
    </row>
    <row r="12">
      <c r="A12" t="s">
        <v>171</v>
      </c>
      <c r="B12" t="s">
        <v>59</v>
      </c>
      <c r="C12">
        <v>12</v>
      </c>
      <c r="F12" t="s">
        <v>172</v>
      </c>
      <c r="H12" t="s">
        <v>91</v>
      </c>
    </row>
    <row r="13">
      <c r="A13" t="s">
        <v>173</v>
      </c>
      <c r="B13" t="s">
        <v>49</v>
      </c>
      <c r="C13">
        <v>20</v>
      </c>
      <c r="F13" t="s">
        <v>174</v>
      </c>
      <c r="H13" t="s">
        <v>91</v>
      </c>
    </row>
    <row r="14">
      <c r="A14" t="s">
        <v>175</v>
      </c>
      <c r="B14" t="s">
        <v>41</v>
      </c>
      <c r="C14">
        <v>8</v>
      </c>
      <c r="F14" t="s">
        <v>176</v>
      </c>
      <c r="H14" t="s">
        <v>91</v>
      </c>
    </row>
    <row r="15">
      <c r="A15" t="s">
        <v>177</v>
      </c>
      <c r="B15" t="s">
        <v>104</v>
      </c>
      <c r="C15">
        <v>8</v>
      </c>
      <c r="F15" t="s">
        <v>178</v>
      </c>
      <c r="H15" t="s">
        <v>91</v>
      </c>
    </row>
    <row r="16">
      <c r="A16" t="s">
        <v>179</v>
      </c>
      <c r="B16" t="s">
        <v>104</v>
      </c>
      <c r="C16">
        <v>2</v>
      </c>
      <c r="H16" t="s">
        <v>91</v>
      </c>
    </row>
    <row r="18">
      <c r="A18" t="s">
        <v>106</v>
      </c>
      <c r="C18">
        <f>SUM(C2:C16)</f>
        <v>194</v>
      </c>
      <c r="D18">
        <f>SUM(D2:D16)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2" width="12"/>
    <col customWidth="1" min="3" max="3" width="15"/>
    <col customWidth="1" min="4" max="15" width="25"/>
    <col customWidth="1" min="16" max="16" width="12"/>
  </cols>
  <sheetData>
    <row r="1">
      <c r="A1" s="10" t="s">
        <v>2</v>
      </c>
      <c r="B1" s="10" t="s">
        <v>11</v>
      </c>
      <c r="C1" s="10" t="s">
        <v>180</v>
      </c>
      <c r="D1" s="10" t="s">
        <v>181</v>
      </c>
      <c r="E1" s="10" t="s">
        <v>182</v>
      </c>
      <c r="F1" s="10" t="s">
        <v>183</v>
      </c>
      <c r="G1" s="10" t="s">
        <v>184</v>
      </c>
      <c r="H1" s="10" t="s">
        <v>185</v>
      </c>
      <c r="I1" s="10" t="s">
        <v>186</v>
      </c>
      <c r="J1" s="10" t="s">
        <v>187</v>
      </c>
      <c r="K1" s="10" t="s">
        <v>188</v>
      </c>
      <c r="L1" s="10" t="s">
        <v>189</v>
      </c>
      <c r="M1" s="10" t="s">
        <v>190</v>
      </c>
      <c r="N1" s="10" t="s">
        <v>191</v>
      </c>
      <c r="O1" s="10" t="s">
        <v>192</v>
      </c>
      <c r="P1" s="10" t="s">
        <v>193</v>
      </c>
    </row>
    <row r="2">
      <c r="A2">
        <v>1</v>
      </c>
      <c r="B2">
        <v>1</v>
      </c>
      <c r="P2" t="s">
        <v>35</v>
      </c>
    </row>
    <row r="3">
      <c r="A3">
        <v>1</v>
      </c>
      <c r="B3">
        <v>2</v>
      </c>
      <c r="P3" t="s">
        <v>36</v>
      </c>
    </row>
    <row r="4">
      <c r="A4">
        <v>1</v>
      </c>
      <c r="B4">
        <v>3</v>
      </c>
      <c r="P4" t="s">
        <v>41</v>
      </c>
    </row>
    <row r="5">
      <c r="A5">
        <v>1</v>
      </c>
      <c r="B5">
        <v>4</v>
      </c>
      <c r="P5" t="s">
        <v>59</v>
      </c>
    </row>
    <row r="6">
      <c r="A6">
        <v>1</v>
      </c>
      <c r="B6">
        <v>5</v>
      </c>
      <c r="P6" t="s">
        <v>35</v>
      </c>
    </row>
    <row r="7">
      <c r="A7">
        <v>1</v>
      </c>
      <c r="B7">
        <v>6</v>
      </c>
      <c r="P7" t="s">
        <v>36</v>
      </c>
    </row>
    <row r="8">
      <c r="A8">
        <v>1</v>
      </c>
      <c r="B8">
        <v>7</v>
      </c>
      <c r="P8" t="s">
        <v>41</v>
      </c>
    </row>
    <row r="9">
      <c r="A9">
        <v>1</v>
      </c>
      <c r="B9">
        <v>8</v>
      </c>
      <c r="P9" t="s">
        <v>59</v>
      </c>
    </row>
    <row r="10">
      <c r="A10">
        <v>1</v>
      </c>
      <c r="B10">
        <v>9</v>
      </c>
      <c r="P10" t="s">
        <v>35</v>
      </c>
    </row>
    <row r="11">
      <c r="A11">
        <v>1</v>
      </c>
      <c r="B11">
        <v>10</v>
      </c>
      <c r="P11" t="s">
        <v>36</v>
      </c>
    </row>
    <row r="12">
      <c r="A12">
        <v>2</v>
      </c>
      <c r="B12">
        <v>1</v>
      </c>
      <c r="P12" t="s">
        <v>41</v>
      </c>
    </row>
    <row r="13">
      <c r="A13">
        <v>2</v>
      </c>
      <c r="B13">
        <v>2</v>
      </c>
      <c r="P13" t="s">
        <v>59</v>
      </c>
    </row>
    <row r="14">
      <c r="A14">
        <v>2</v>
      </c>
      <c r="B14">
        <v>3</v>
      </c>
      <c r="P14" t="s">
        <v>35</v>
      </c>
    </row>
    <row r="15">
      <c r="A15">
        <v>2</v>
      </c>
      <c r="B15">
        <v>4</v>
      </c>
      <c r="P15" t="s">
        <v>36</v>
      </c>
    </row>
    <row r="16">
      <c r="A16">
        <v>2</v>
      </c>
      <c r="B16">
        <v>5</v>
      </c>
      <c r="P16" t="s">
        <v>41</v>
      </c>
    </row>
    <row r="17">
      <c r="A17">
        <v>2</v>
      </c>
      <c r="B17">
        <v>6</v>
      </c>
      <c r="P17" t="s">
        <v>59</v>
      </c>
    </row>
    <row r="18">
      <c r="A18">
        <v>2</v>
      </c>
      <c r="B18">
        <v>7</v>
      </c>
      <c r="P18" t="s">
        <v>35</v>
      </c>
    </row>
    <row r="19">
      <c r="A19">
        <v>2</v>
      </c>
      <c r="B19">
        <v>8</v>
      </c>
      <c r="P19" t="s">
        <v>36</v>
      </c>
    </row>
    <row r="20">
      <c r="A20">
        <v>2</v>
      </c>
      <c r="B20">
        <v>9</v>
      </c>
      <c r="P20" t="s">
        <v>41</v>
      </c>
    </row>
    <row r="21">
      <c r="A21">
        <v>2</v>
      </c>
      <c r="B21">
        <v>10</v>
      </c>
      <c r="P21" t="s">
        <v>59</v>
      </c>
    </row>
    <row r="22">
      <c r="A22">
        <v>3</v>
      </c>
      <c r="B22">
        <v>1</v>
      </c>
      <c r="P22" t="s">
        <v>35</v>
      </c>
    </row>
    <row r="23">
      <c r="A23">
        <v>3</v>
      </c>
      <c r="B23">
        <v>2</v>
      </c>
      <c r="P23" t="s">
        <v>36</v>
      </c>
    </row>
    <row r="24">
      <c r="A24">
        <v>3</v>
      </c>
      <c r="B24">
        <v>3</v>
      </c>
      <c r="P24" t="s">
        <v>41</v>
      </c>
    </row>
    <row r="25">
      <c r="A25">
        <v>3</v>
      </c>
      <c r="B25">
        <v>4</v>
      </c>
      <c r="P25" t="s">
        <v>59</v>
      </c>
    </row>
    <row r="26">
      <c r="A26">
        <v>3</v>
      </c>
      <c r="B26">
        <v>5</v>
      </c>
      <c r="P26" t="s">
        <v>35</v>
      </c>
    </row>
    <row r="27">
      <c r="A27">
        <v>3</v>
      </c>
      <c r="B27">
        <v>6</v>
      </c>
      <c r="P27" t="s">
        <v>36</v>
      </c>
    </row>
    <row r="28">
      <c r="A28">
        <v>3</v>
      </c>
      <c r="B28">
        <v>7</v>
      </c>
      <c r="P28" t="s">
        <v>41</v>
      </c>
    </row>
    <row r="29">
      <c r="A29">
        <v>3</v>
      </c>
      <c r="B29">
        <v>8</v>
      </c>
      <c r="P29" t="s">
        <v>59</v>
      </c>
    </row>
    <row r="30">
      <c r="A30">
        <v>3</v>
      </c>
      <c r="B30">
        <v>9</v>
      </c>
      <c r="P30" t="s">
        <v>35</v>
      </c>
    </row>
    <row r="31">
      <c r="A31">
        <v>3</v>
      </c>
      <c r="B31">
        <v>10</v>
      </c>
      <c r="P31" t="s">
        <v>36</v>
      </c>
    </row>
    <row r="32">
      <c r="A32">
        <v>4</v>
      </c>
      <c r="B32">
        <v>1</v>
      </c>
      <c r="P32" t="s">
        <v>41</v>
      </c>
    </row>
    <row r="33">
      <c r="A33">
        <v>4</v>
      </c>
      <c r="B33">
        <v>2</v>
      </c>
      <c r="P33" t="s">
        <v>59</v>
      </c>
    </row>
    <row r="34">
      <c r="A34">
        <v>4</v>
      </c>
      <c r="B34">
        <v>3</v>
      </c>
      <c r="P34" t="s">
        <v>35</v>
      </c>
    </row>
    <row r="35">
      <c r="A35">
        <v>4</v>
      </c>
      <c r="B35">
        <v>4</v>
      </c>
      <c r="P35" t="s">
        <v>36</v>
      </c>
    </row>
    <row r="36">
      <c r="A36">
        <v>4</v>
      </c>
      <c r="B36">
        <v>5</v>
      </c>
      <c r="P36" t="s">
        <v>41</v>
      </c>
    </row>
    <row r="37">
      <c r="A37">
        <v>4</v>
      </c>
      <c r="B37">
        <v>6</v>
      </c>
      <c r="P37" t="s">
        <v>59</v>
      </c>
    </row>
    <row r="38">
      <c r="A38">
        <v>4</v>
      </c>
      <c r="B38">
        <v>7</v>
      </c>
      <c r="P38" t="s">
        <v>35</v>
      </c>
    </row>
    <row r="39">
      <c r="A39">
        <v>4</v>
      </c>
      <c r="B39">
        <v>8</v>
      </c>
      <c r="P39" t="s">
        <v>36</v>
      </c>
    </row>
    <row r="40">
      <c r="A40">
        <v>4</v>
      </c>
      <c r="B40">
        <v>9</v>
      </c>
      <c r="P40" t="s">
        <v>41</v>
      </c>
    </row>
    <row r="41">
      <c r="A41">
        <v>4</v>
      </c>
      <c r="B41">
        <v>10</v>
      </c>
      <c r="P41" t="s">
        <v>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5"/>
    <col customWidth="1" min="2" max="4" width="12"/>
    <col customWidth="1" min="5" max="5" width="30"/>
    <col customWidth="1" min="6" max="6" width="25"/>
    <col customWidth="1" min="7" max="7" width="12"/>
  </cols>
  <sheetData>
    <row r="1">
      <c r="A1" s="9" t="s">
        <v>194</v>
      </c>
      <c r="B1" s="9" t="s">
        <v>195</v>
      </c>
      <c r="C1" s="9" t="s">
        <v>196</v>
      </c>
      <c r="D1" s="9" t="s">
        <v>197</v>
      </c>
      <c r="E1" s="9" t="s">
        <v>198</v>
      </c>
      <c r="F1" s="9" t="s">
        <v>199</v>
      </c>
      <c r="G1" s="9" t="s">
        <v>14</v>
      </c>
    </row>
    <row r="2">
      <c r="A2" t="s">
        <v>200</v>
      </c>
      <c r="B2" t="s">
        <v>54</v>
      </c>
      <c r="C2" t="s">
        <v>34</v>
      </c>
      <c r="D2" t="s">
        <v>35</v>
      </c>
      <c r="E2" t="s">
        <v>201</v>
      </c>
      <c r="F2" t="s">
        <v>202</v>
      </c>
      <c r="G2" t="s">
        <v>203</v>
      </c>
    </row>
    <row r="3">
      <c r="A3" t="s">
        <v>204</v>
      </c>
      <c r="B3" t="s">
        <v>54</v>
      </c>
      <c r="C3" t="s">
        <v>34</v>
      </c>
      <c r="D3" t="s">
        <v>41</v>
      </c>
      <c r="E3" t="s">
        <v>205</v>
      </c>
      <c r="F3" t="s">
        <v>206</v>
      </c>
      <c r="G3" t="s">
        <v>203</v>
      </c>
    </row>
    <row r="4">
      <c r="A4" t="s">
        <v>207</v>
      </c>
      <c r="B4" t="s">
        <v>34</v>
      </c>
      <c r="C4" t="s">
        <v>34</v>
      </c>
      <c r="D4" t="s">
        <v>35</v>
      </c>
      <c r="E4" t="s">
        <v>208</v>
      </c>
      <c r="F4" t="s">
        <v>209</v>
      </c>
      <c r="G4" t="s">
        <v>203</v>
      </c>
    </row>
    <row r="5">
      <c r="A5" t="s">
        <v>210</v>
      </c>
      <c r="B5" t="s">
        <v>54</v>
      </c>
      <c r="C5" t="s">
        <v>68</v>
      </c>
      <c r="D5" t="s">
        <v>59</v>
      </c>
      <c r="E5" t="s">
        <v>211</v>
      </c>
      <c r="F5" t="s">
        <v>212</v>
      </c>
      <c r="G5" t="s">
        <v>203</v>
      </c>
    </row>
    <row r="6">
      <c r="A6" t="s">
        <v>213</v>
      </c>
      <c r="B6" t="s">
        <v>76</v>
      </c>
      <c r="C6" t="s">
        <v>34</v>
      </c>
      <c r="D6" t="s">
        <v>35</v>
      </c>
      <c r="E6" t="s">
        <v>214</v>
      </c>
      <c r="F6" t="s">
        <v>215</v>
      </c>
      <c r="G6" t="s">
        <v>203</v>
      </c>
    </row>
    <row r="7">
      <c r="A7" t="s">
        <v>216</v>
      </c>
      <c r="B7" t="s">
        <v>54</v>
      </c>
      <c r="C7" t="s">
        <v>34</v>
      </c>
      <c r="D7" t="s">
        <v>41</v>
      </c>
      <c r="E7" t="s">
        <v>217</v>
      </c>
      <c r="F7" t="s">
        <v>218</v>
      </c>
      <c r="G7" t="s">
        <v>203</v>
      </c>
    </row>
    <row r="8">
      <c r="A8" t="s">
        <v>219</v>
      </c>
      <c r="B8" t="s">
        <v>34</v>
      </c>
      <c r="C8" t="s">
        <v>34</v>
      </c>
      <c r="D8" t="s">
        <v>41</v>
      </c>
      <c r="E8" t="s">
        <v>220</v>
      </c>
      <c r="F8" t="s">
        <v>221</v>
      </c>
      <c r="G8" t="s">
        <v>203</v>
      </c>
    </row>
    <row r="9">
      <c r="A9" t="s">
        <v>222</v>
      </c>
      <c r="B9" t="s">
        <v>54</v>
      </c>
      <c r="C9" t="s">
        <v>54</v>
      </c>
      <c r="D9" t="s">
        <v>36</v>
      </c>
      <c r="E9" t="s">
        <v>223</v>
      </c>
      <c r="F9" t="s">
        <v>224</v>
      </c>
      <c r="G9" t="s">
        <v>203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"/>
    <col customWidth="1" min="2" max="5" width="18"/>
    <col customWidth="1" min="6" max="6" width="30"/>
  </cols>
  <sheetData>
    <row r="1">
      <c r="A1" s="11" t="s">
        <v>2</v>
      </c>
      <c r="B1" s="11" t="s">
        <v>225</v>
      </c>
      <c r="C1" s="11" t="s">
        <v>226</v>
      </c>
      <c r="D1" s="11" t="s">
        <v>227</v>
      </c>
      <c r="E1" s="11" t="s">
        <v>228</v>
      </c>
      <c r="F1" s="11" t="s">
        <v>31</v>
      </c>
    </row>
    <row r="2">
      <c r="A2">
        <v>1</v>
      </c>
      <c r="B2">
        <v>18</v>
      </c>
      <c r="D2">
        <v>240</v>
      </c>
      <c r="E2">
        <f t="shared" ref="E2:E7" si="0">C2/B2</f>
        <v>0</v>
      </c>
      <c r="F2" t="s">
        <v>229</v>
      </c>
    </row>
    <row r="3">
      <c r="A3">
        <v>2</v>
      </c>
      <c r="B3">
        <v>37</v>
      </c>
      <c r="D3">
        <v>240</v>
      </c>
      <c r="E3">
        <f t="shared" si="0"/>
        <v>0</v>
      </c>
      <c r="F3" t="s">
        <v>230</v>
      </c>
    </row>
    <row r="4">
      <c r="A4">
        <v>3</v>
      </c>
      <c r="B4">
        <v>29</v>
      </c>
      <c r="D4">
        <v>240</v>
      </c>
      <c r="E4">
        <f t="shared" si="0"/>
        <v>0</v>
      </c>
      <c r="F4" t="s">
        <v>231</v>
      </c>
    </row>
    <row r="5">
      <c r="A5">
        <v>4</v>
      </c>
      <c r="B5">
        <v>50</v>
      </c>
      <c r="D5">
        <v>240</v>
      </c>
      <c r="E5">
        <f t="shared" si="0"/>
        <v>0</v>
      </c>
      <c r="F5" t="s">
        <v>232</v>
      </c>
    </row>
    <row r="7">
      <c r="A7" t="s">
        <v>106</v>
      </c>
      <c r="B7">
        <f>SUM(B2:B5)</f>
        <v>134</v>
      </c>
      <c r="C7">
        <f>SUM(C2:C5)</f>
        <v>0</v>
      </c>
      <c r="D7">
        <f>SUM(D2:D5)</f>
        <v>960</v>
      </c>
      <c r="E7">
        <f t="shared" si="0"/>
        <v>0</v>
      </c>
    </row>
    <row r="9">
      <c r="A9" t="s">
        <v>233</v>
      </c>
      <c r="E9">
        <f>AVERAGE(E2:E5)</f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4" width="30"/>
  </cols>
  <sheetData>
    <row r="1">
      <c r="A1" t="s">
        <v>234</v>
      </c>
    </row>
    <row r="3">
      <c r="A3" t="s">
        <v>235</v>
      </c>
      <c r="B3" t="s">
        <v>236</v>
      </c>
    </row>
    <row r="4">
      <c r="A4" t="s">
        <v>237</v>
      </c>
      <c r="B4" t="s">
        <v>238</v>
      </c>
    </row>
    <row r="5">
      <c r="A5" t="s">
        <v>239</v>
      </c>
      <c r="B5" t="s">
        <v>240</v>
      </c>
    </row>
    <row r="6">
      <c r="A6" t="s">
        <v>241</v>
      </c>
      <c r="B6" t="s">
        <v>242</v>
      </c>
    </row>
    <row r="8">
      <c r="A8" t="s">
        <v>243</v>
      </c>
    </row>
    <row r="9">
      <c r="A9" t="s">
        <v>244</v>
      </c>
      <c r="B9" t="s">
        <v>245</v>
      </c>
      <c r="C9" t="s">
        <v>246</v>
      </c>
      <c r="D9" t="s">
        <v>247</v>
      </c>
    </row>
    <row r="10">
      <c r="A10" t="s">
        <v>35</v>
      </c>
      <c r="B10" t="s">
        <v>248</v>
      </c>
      <c r="C10" t="s">
        <v>249</v>
      </c>
      <c r="D10" t="s">
        <v>250</v>
      </c>
    </row>
    <row r="11">
      <c r="A11" t="s">
        <v>36</v>
      </c>
      <c r="B11" t="s">
        <v>251</v>
      </c>
      <c r="C11" t="s">
        <v>252</v>
      </c>
      <c r="D11" t="s">
        <v>253</v>
      </c>
    </row>
    <row r="12">
      <c r="A12" t="s">
        <v>41</v>
      </c>
      <c r="B12" t="s">
        <v>254</v>
      </c>
      <c r="C12" t="s">
        <v>255</v>
      </c>
      <c r="D12" t="s">
        <v>256</v>
      </c>
    </row>
    <row r="13">
      <c r="A13" t="s">
        <v>59</v>
      </c>
      <c r="B13" t="s">
        <v>257</v>
      </c>
      <c r="C13" t="s">
        <v>258</v>
      </c>
      <c r="D13" t="s">
        <v>259</v>
      </c>
    </row>
    <row r="15">
      <c r="A15" t="s">
        <v>260</v>
      </c>
    </row>
    <row r="16">
      <c r="A16" t="s">
        <v>261</v>
      </c>
      <c r="B16" t="s">
        <v>262</v>
      </c>
      <c r="C16" t="s">
        <v>263</v>
      </c>
    </row>
    <row r="17">
      <c r="A17" t="s">
        <v>264</v>
      </c>
      <c r="B17" t="s">
        <v>265</v>
      </c>
      <c r="C17" t="s">
        <v>266</v>
      </c>
    </row>
    <row r="18">
      <c r="A18" t="s">
        <v>267</v>
      </c>
      <c r="B18" t="s">
        <v>268</v>
      </c>
      <c r="C18" t="s">
        <v>269</v>
      </c>
    </row>
    <row r="19">
      <c r="A19" t="s">
        <v>270</v>
      </c>
      <c r="B19" t="s">
        <v>271</v>
      </c>
      <c r="C19" t="s">
        <v>272</v>
      </c>
    </row>
    <row r="20">
      <c r="A20" t="s">
        <v>125</v>
      </c>
      <c r="B20" t="s">
        <v>271</v>
      </c>
      <c r="C20" t="s">
        <v>273</v>
      </c>
    </row>
    <row r="21">
      <c r="A21" t="s">
        <v>105</v>
      </c>
      <c r="B21" t="s">
        <v>274</v>
      </c>
      <c r="C21" t="s">
        <v>275</v>
      </c>
    </row>
    <row r="23">
      <c r="A23" t="s">
        <v>276</v>
      </c>
    </row>
    <row r="24">
      <c r="A24" t="s">
        <v>277</v>
      </c>
    </row>
    <row r="25">
      <c r="A25" t="s">
        <v>278</v>
      </c>
    </row>
    <row r="26">
      <c r="A26" t="s">
        <v>279</v>
      </c>
    </row>
    <row r="27">
      <c r="A27" t="s">
        <v>280</v>
      </c>
    </row>
    <row r="28">
      <c r="A28" t="s">
        <v>281</v>
      </c>
    </row>
    <row r="29">
      <c r="A29" t="s">
        <v>282</v>
      </c>
    </row>
    <row r="30">
      <c r="A30" t="s">
        <v>283</v>
      </c>
    </row>
    <row r="31">
      <c r="A31" t="s">
        <v>284</v>
      </c>
    </row>
    <row r="32">
      <c r="A32" t="s">
        <v>285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5"/>
    <col customWidth="1" min="3" max="4" width="18"/>
    <col customWidth="1" min="5" max="5" width="30"/>
  </cols>
  <sheetData>
    <row r="1">
      <c r="A1" s="12" t="s">
        <v>286</v>
      </c>
    </row>
    <row r="3">
      <c r="A3" s="13" t="s">
        <v>11</v>
      </c>
      <c r="B3" s="13" t="s">
        <v>180</v>
      </c>
      <c r="C3" s="13" t="s">
        <v>287</v>
      </c>
      <c r="D3" s="13" t="s">
        <v>288</v>
      </c>
      <c r="E3" s="13" t="s">
        <v>31</v>
      </c>
    </row>
    <row r="4">
      <c r="A4">
        <v>0</v>
      </c>
      <c r="B4" t="s">
        <v>289</v>
      </c>
      <c r="C4">
        <v>18</v>
      </c>
      <c r="D4">
        <v>18</v>
      </c>
      <c r="E4" t="s">
        <v>267</v>
      </c>
    </row>
    <row r="5">
      <c r="A5">
        <v>1</v>
      </c>
      <c r="B5" s="14">
        <v>46091</v>
      </c>
      <c r="C5">
        <f t="shared" ref="C5:C9" si="1">18-(1.8*A5)</f>
        <v>16.199999999999999</v>
      </c>
      <c r="D5">
        <v>1</v>
      </c>
    </row>
    <row r="6">
      <c r="A6">
        <v>2</v>
      </c>
      <c r="B6" s="14">
        <v>46092</v>
      </c>
      <c r="C6">
        <f t="shared" si="1"/>
        <v>14.4</v>
      </c>
      <c r="D6">
        <v>2</v>
      </c>
    </row>
    <row r="7">
      <c r="A7">
        <v>3</v>
      </c>
      <c r="B7" s="14">
        <v>46093</v>
      </c>
      <c r="C7">
        <f t="shared" si="1"/>
        <v>12.6</v>
      </c>
      <c r="D7">
        <v>0</v>
      </c>
    </row>
    <row r="8">
      <c r="A8">
        <v>4</v>
      </c>
      <c r="B8" s="14">
        <v>46094</v>
      </c>
      <c r="C8">
        <f t="shared" si="1"/>
        <v>10.800000000000001</v>
      </c>
      <c r="D8">
        <v>0</v>
      </c>
    </row>
    <row r="9">
      <c r="A9">
        <v>5</v>
      </c>
      <c r="B9" s="14">
        <v>46095</v>
      </c>
      <c r="C9">
        <f t="shared" si="1"/>
        <v>9</v>
      </c>
      <c r="D9">
        <v>0</v>
      </c>
      <c r="E9" t="s">
        <v>290</v>
      </c>
    </row>
    <row r="10">
      <c r="A10">
        <v>6</v>
      </c>
      <c r="B10" s="14">
        <v>46096</v>
      </c>
      <c r="C10">
        <f t="shared" ref="C10:C13" si="2">18-(1.8*A10)</f>
        <v>7.1999999999999993</v>
      </c>
      <c r="D10">
        <v>1</v>
      </c>
    </row>
    <row r="11">
      <c r="A11">
        <v>7</v>
      </c>
      <c r="B11" s="14">
        <v>46097</v>
      </c>
      <c r="C11">
        <f t="shared" si="2"/>
        <v>5.4000000000000004</v>
      </c>
      <c r="D11">
        <v>0</v>
      </c>
    </row>
    <row r="12">
      <c r="A12">
        <v>8</v>
      </c>
      <c r="B12" s="14">
        <v>46098</v>
      </c>
      <c r="C12">
        <f t="shared" si="2"/>
        <v>3.5999999999999996</v>
      </c>
      <c r="D12">
        <v>0</v>
      </c>
    </row>
    <row r="13">
      <c r="A13">
        <v>9</v>
      </c>
      <c r="B13" s="14">
        <v>46099</v>
      </c>
      <c r="C13">
        <f t="shared" si="2"/>
        <v>1.8000000000000007</v>
      </c>
      <c r="D13">
        <v>0</v>
      </c>
    </row>
    <row r="14">
      <c r="A14">
        <v>10</v>
      </c>
      <c r="B14" t="s">
        <v>291</v>
      </c>
      <c r="C14">
        <v>0</v>
      </c>
      <c r="D14">
        <v>0</v>
      </c>
      <c r="E14" t="s">
        <v>125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5"/>
    <col customWidth="1" min="3" max="4" width="18"/>
    <col customWidth="1" min="5" max="5" width="30"/>
  </cols>
  <sheetData>
    <row r="1">
      <c r="A1" s="15" t="s">
        <v>292</v>
      </c>
    </row>
    <row r="3">
      <c r="A3" s="13" t="s">
        <v>11</v>
      </c>
      <c r="B3" s="13" t="s">
        <v>180</v>
      </c>
      <c r="C3" s="13" t="s">
        <v>287</v>
      </c>
      <c r="D3" s="13" t="s">
        <v>288</v>
      </c>
      <c r="E3" s="13" t="s">
        <v>31</v>
      </c>
    </row>
    <row r="4">
      <c r="A4">
        <v>0</v>
      </c>
      <c r="B4" t="s">
        <v>289</v>
      </c>
      <c r="C4">
        <v>37</v>
      </c>
      <c r="D4">
        <v>37</v>
      </c>
      <c r="E4" t="s">
        <v>267</v>
      </c>
    </row>
    <row r="5">
      <c r="A5">
        <v>1</v>
      </c>
      <c r="C5">
        <f t="shared" ref="C5:C9" si="3">37-(3.7*A5)</f>
        <v>33.299999999999997</v>
      </c>
    </row>
    <row r="6">
      <c r="A6">
        <v>2</v>
      </c>
      <c r="C6">
        <f t="shared" si="3"/>
        <v>29.600000000000001</v>
      </c>
    </row>
    <row r="7">
      <c r="A7">
        <v>3</v>
      </c>
      <c r="C7">
        <f t="shared" si="3"/>
        <v>25.899999999999999</v>
      </c>
    </row>
    <row r="8">
      <c r="A8">
        <v>4</v>
      </c>
      <c r="C8">
        <f t="shared" si="3"/>
        <v>22.199999999999999</v>
      </c>
    </row>
    <row r="9">
      <c r="A9">
        <v>5</v>
      </c>
      <c r="C9">
        <f t="shared" si="3"/>
        <v>18.5</v>
      </c>
      <c r="E9" t="s">
        <v>290</v>
      </c>
    </row>
    <row r="10">
      <c r="A10">
        <v>6</v>
      </c>
      <c r="C10">
        <f t="shared" ref="C10:C13" si="4">37-(3.7*A10)</f>
        <v>14.799999999999997</v>
      </c>
    </row>
    <row r="11">
      <c r="A11">
        <v>7</v>
      </c>
      <c r="C11">
        <f t="shared" si="4"/>
        <v>11.099999999999998</v>
      </c>
    </row>
    <row r="12">
      <c r="A12">
        <v>8</v>
      </c>
      <c r="C12">
        <f t="shared" si="4"/>
        <v>7.3999999999999986</v>
      </c>
    </row>
    <row r="13">
      <c r="A13">
        <v>9</v>
      </c>
      <c r="C13">
        <f t="shared" si="4"/>
        <v>3.6999999999999957</v>
      </c>
    </row>
    <row r="14">
      <c r="A14">
        <v>10</v>
      </c>
      <c r="B14" t="s">
        <v>291</v>
      </c>
      <c r="C14">
        <v>0</v>
      </c>
      <c r="E14" t="s">
        <v>125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5"/>
    <col customWidth="1" min="3" max="4" width="18"/>
    <col customWidth="1" min="5" max="5" width="30"/>
  </cols>
  <sheetData>
    <row r="1">
      <c r="A1" s="16" t="s">
        <v>293</v>
      </c>
    </row>
    <row r="3">
      <c r="A3" s="13" t="s">
        <v>11</v>
      </c>
      <c r="B3" s="13" t="s">
        <v>180</v>
      </c>
      <c r="C3" s="13" t="s">
        <v>287</v>
      </c>
      <c r="D3" s="13" t="s">
        <v>288</v>
      </c>
      <c r="E3" s="13" t="s">
        <v>31</v>
      </c>
    </row>
    <row r="4">
      <c r="A4">
        <v>0</v>
      </c>
      <c r="B4" t="s">
        <v>289</v>
      </c>
      <c r="C4">
        <v>29</v>
      </c>
      <c r="D4">
        <v>29</v>
      </c>
      <c r="E4" t="s">
        <v>267</v>
      </c>
    </row>
    <row r="5">
      <c r="A5">
        <v>1</v>
      </c>
      <c r="C5">
        <f t="shared" ref="C5:C9" si="5">29-(2.9*A5)</f>
        <v>26.100000000000001</v>
      </c>
    </row>
    <row r="6">
      <c r="A6">
        <v>2</v>
      </c>
      <c r="C6">
        <f t="shared" si="5"/>
        <v>23.199999999999999</v>
      </c>
    </row>
    <row r="7">
      <c r="A7">
        <v>3</v>
      </c>
      <c r="C7">
        <f t="shared" si="5"/>
        <v>20.300000000000001</v>
      </c>
    </row>
    <row r="8">
      <c r="A8">
        <v>4</v>
      </c>
      <c r="C8">
        <f t="shared" si="5"/>
        <v>17.399999999999999</v>
      </c>
    </row>
    <row r="9">
      <c r="A9">
        <v>5</v>
      </c>
      <c r="C9">
        <f t="shared" si="5"/>
        <v>14.5</v>
      </c>
      <c r="E9" t="s">
        <v>290</v>
      </c>
    </row>
    <row r="10">
      <c r="A10">
        <v>6</v>
      </c>
      <c r="C10">
        <f t="shared" ref="C10:C13" si="6">29-(2.9*A10)</f>
        <v>11.600000000000001</v>
      </c>
    </row>
    <row r="11">
      <c r="A11">
        <v>7</v>
      </c>
      <c r="C11">
        <f t="shared" si="6"/>
        <v>8.6999999999999993</v>
      </c>
    </row>
    <row r="12">
      <c r="A12">
        <v>8</v>
      </c>
      <c r="C12">
        <f t="shared" si="6"/>
        <v>5.8000000000000007</v>
      </c>
    </row>
    <row r="13">
      <c r="A13">
        <v>9</v>
      </c>
      <c r="C13">
        <f t="shared" si="6"/>
        <v>2.9000000000000021</v>
      </c>
    </row>
    <row r="14">
      <c r="A14">
        <v>10</v>
      </c>
      <c r="B14" t="s">
        <v>291</v>
      </c>
      <c r="C14">
        <v>0</v>
      </c>
      <c r="E14" t="s">
        <v>125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5"/>
    <col customWidth="1" min="3" max="4" width="18"/>
    <col customWidth="1" min="5" max="5" width="30"/>
  </cols>
  <sheetData>
    <row r="1">
      <c r="A1" s="17" t="s">
        <v>294</v>
      </c>
    </row>
    <row r="3">
      <c r="A3" s="13" t="s">
        <v>11</v>
      </c>
      <c r="B3" s="13" t="s">
        <v>180</v>
      </c>
      <c r="C3" s="13" t="s">
        <v>287</v>
      </c>
      <c r="D3" s="13" t="s">
        <v>288</v>
      </c>
      <c r="E3" s="13" t="s">
        <v>31</v>
      </c>
    </row>
    <row r="4">
      <c r="A4">
        <v>0</v>
      </c>
      <c r="B4" t="s">
        <v>289</v>
      </c>
      <c r="C4">
        <v>50</v>
      </c>
      <c r="D4">
        <v>50</v>
      </c>
      <c r="E4" t="s">
        <v>267</v>
      </c>
    </row>
    <row r="5">
      <c r="A5">
        <v>1</v>
      </c>
      <c r="C5">
        <f t="shared" ref="C5:C9" si="7">50-(5*A5)</f>
        <v>45</v>
      </c>
    </row>
    <row r="6">
      <c r="A6">
        <v>2</v>
      </c>
      <c r="C6">
        <f t="shared" si="7"/>
        <v>40</v>
      </c>
    </row>
    <row r="7">
      <c r="A7">
        <v>3</v>
      </c>
      <c r="C7">
        <f t="shared" si="7"/>
        <v>35</v>
      </c>
    </row>
    <row r="8">
      <c r="A8">
        <v>4</v>
      </c>
      <c r="C8">
        <f t="shared" si="7"/>
        <v>30</v>
      </c>
    </row>
    <row r="9">
      <c r="A9">
        <v>5</v>
      </c>
      <c r="C9">
        <f t="shared" si="7"/>
        <v>25</v>
      </c>
      <c r="E9" t="s">
        <v>290</v>
      </c>
    </row>
    <row r="10">
      <c r="A10">
        <v>6</v>
      </c>
      <c r="C10">
        <f t="shared" ref="C10:C13" si="8">50-(5*A10)</f>
        <v>20</v>
      </c>
    </row>
    <row r="11">
      <c r="A11">
        <v>7</v>
      </c>
      <c r="C11">
        <f t="shared" si="8"/>
        <v>15</v>
      </c>
    </row>
    <row r="12">
      <c r="A12">
        <v>8</v>
      </c>
      <c r="C12">
        <f t="shared" si="8"/>
        <v>10</v>
      </c>
    </row>
    <row r="13">
      <c r="A13">
        <v>9</v>
      </c>
      <c r="C13">
        <f t="shared" si="8"/>
        <v>5</v>
      </c>
    </row>
    <row r="14">
      <c r="A14">
        <v>10</v>
      </c>
      <c r="B14" t="s">
        <v>291</v>
      </c>
      <c r="C14">
        <v>0</v>
      </c>
      <c r="E14" t="s">
        <v>295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2026-03-25T01:38:41Z</dcterms:created>
  <dcterms:modified xsi:type="dcterms:W3CDTF">2026-03-25T01:51:28Z</dcterms:modified>
</cp:coreProperties>
</file>